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共同績效指標" sheetId="1" r:id="rId5"/>
    <sheet state="hidden" name="自訂績效指標" sheetId="2" r:id="rId6"/>
    <sheet state="hidden" name="共同未達標" sheetId="3" r:id="rId7"/>
    <sheet state="hidden" name="自訂未達標" sheetId="4" r:id="rId8"/>
  </sheets>
  <definedNames>
    <definedName hidden="1" localSheetId="0" name="_xlnm._FilterDatabase">'共同績效指標'!$A$9:$AI$60</definedName>
  </definedNames>
  <calcPr/>
</workbook>
</file>

<file path=xl/sharedStrings.xml><?xml version="1.0" encoding="utf-8"?>
<sst xmlns="http://schemas.openxmlformats.org/spreadsheetml/2006/main" count="1322" uniqueCount="840">
  <si>
    <t>共
同
指
標</t>
  </si>
  <si>
    <t>績效指標執行情形</t>
  </si>
  <si>
    <t>教
學
創
新
精
進</t>
  </si>
  <si>
    <t>項目</t>
  </si>
  <si>
    <t>達成率</t>
  </si>
  <si>
    <t>說明</t>
  </si>
  <si>
    <t>備註</t>
  </si>
  <si>
    <t>學生參加競賽獲獎人次</t>
  </si>
  <si>
    <t>自
訂
指
標</t>
  </si>
  <si>
    <t>二、自訂績效指標</t>
  </si>
  <si>
    <t>教師參與實務研習人次(含校內外研習)</t>
  </si>
  <si>
    <t>1.確實檢視資料彙整項目內容，減少資料庫競賽項目的重複或缺失，提升資料庫項目的完整性，使其內容得以納入參考數據。
2.盤點各科系回報之有效數據，減少數據彙整資訊不全狀況。</t>
  </si>
  <si>
    <t>無</t>
  </si>
  <si>
    <t>學校全體教師完成半年與專業或技術有關研習或研究之比率</t>
  </si>
  <si>
    <r>
      <rPr>
        <rFont val="DFKai-SB"/>
        <color theme="1"/>
        <sz val="12.0"/>
      </rPr>
      <t>一、共同績效指標</t>
    </r>
    <r>
      <rPr>
        <rFont val="標楷體"/>
        <b/>
        <color rgb="FFFF0000"/>
        <sz val="12.0"/>
      </rPr>
      <t>(所有標項目均為必填)</t>
    </r>
  </si>
  <si>
    <t>善
盡
社
會
責
任</t>
  </si>
  <si>
    <t>參與SDGs、USR相關服務與實踐課程數</t>
  </si>
  <si>
    <t>學校聘任曾於國際技能競賽獲獎之選手為專任教學人員或專業實作指導人員人數</t>
  </si>
  <si>
    <t>填報說明</t>
  </si>
  <si>
    <t>參與SDGs、USR相關師生社群社團參與人次</t>
  </si>
  <si>
    <t>採用創新教學模式教師數(學期/人)</t>
  </si>
  <si>
    <t>產
學
合
作
連
結</t>
  </si>
  <si>
    <t>113學年第2學期起「創新教學課程」定義修改(有6周以上實施創新教學始得計入)，故課程數下降。</t>
  </si>
  <si>
    <t>114年有提修正，但目前系統仍是修正前的目標值，以舊目標值計算為未達標。
2/25去電台評會反應此問題，3/5再次去電，台評會表示系統無資料，待請示教育部是否開放修正後再回覆。</t>
  </si>
  <si>
    <t>1.如有目標值之達成率70％以下（含），請於備註欄內說明原因。
2.自訂衡量方式之單位若為比例或比率（%）者，應說明分子及分母計算方式、採計期間（學年度或年度）
3.不開放修訂115年-116年之目標值。</t>
  </si>
  <si>
    <t>承接校外計畫件數</t>
  </si>
  <si>
    <t>修讀創新教學課程學生人次(學期/人)</t>
  </si>
  <si>
    <t>113學年第2學期起「創新教學課程」定義修改(有6周以上實施創新教學始得計入)，故修讀人次下降。</t>
  </si>
  <si>
    <t>修讀跨域學習課程學生人次-輔系</t>
  </si>
  <si>
    <t>預計於115年5月辦理跨域學習說明會，鼓助學生修習輔系，另，評估雙主修/輔系設罝學習獎勵金之可行性，藉以提高學生修課意願。</t>
  </si>
  <si>
    <t>提
升
高
教
公
共
性</t>
  </si>
  <si>
    <r>
      <rPr>
        <rFont val="DFKai-SB"/>
        <color theme="1"/>
        <sz val="12.0"/>
      </rPr>
      <t>1.本次為「高等教育深耕計畫」115年第2次績效填報，114學年度第1學期與第2學期績效指標達成情形。
2.質性指標請以300字內描述具體成果含相關數據，詳細成果可撰寫於成果報告暨計畫書內。。
3.</t>
    </r>
    <r>
      <rPr>
        <rFont val="標楷體"/>
        <b/>
        <color rgb="FFFF0000"/>
        <sz val="14.0"/>
      </rPr>
      <t>如有目標值之達成率70％以下（含），請於備註欄內說明原因。</t>
    </r>
    <r>
      <rPr>
        <rFont val="標楷體"/>
        <color theme="1"/>
        <sz val="12.0"/>
      </rPr>
      <t xml:space="preserve">
4.</t>
    </r>
    <r>
      <rPr>
        <rFont val="標楷體"/>
        <b/>
        <color rgb="FFFF0000"/>
        <sz val="14.0"/>
      </rPr>
      <t>不開放修訂115年-116年之目標值。</t>
    </r>
  </si>
  <si>
    <t>STEM領域系科所學生人數-男</t>
  </si>
  <si>
    <t>修讀STEM領域課程學生人次-男</t>
  </si>
  <si>
    <t>曾修讀程式設計課程學生數</t>
  </si>
  <si>
    <t>經濟或文化不利學生班排名獲前50%比率</t>
  </si>
  <si>
    <t>學生通過學校設定校際共享中文能力教材測驗或第三方認證人數</t>
  </si>
  <si>
    <t>114-1中文檢測的前測乃是針對入學學生的中文先備能力做評估，從中了解入學新生的中文能力，通過人數的降低除了抽樣人數減少的因素之外，可看出學生基礎中文能力越來越低落的普遍現象，同時在未來一課程強化閱讀能力，以及提升書寫表達技巧，並且以檢測平台的輔導機制，幫助學生有效提升基礎能力，並於114-2的檢測後測中通過認證，提高通過率</t>
  </si>
  <si>
    <t>學校設定校際共享中文能力教材測驗或第三方認證抽樣學生數</t>
  </si>
  <si>
    <t>經濟或文化不利學生(含應屆畢業生)已獲得專業證照之人次</t>
  </si>
  <si>
    <t>檢測人數為114學年度四技及五專入學新生統計總人數，因為入學新生人數減少，因此抽樣人數隨之減少</t>
  </si>
  <si>
    <t>學生達各級CEFR能力情形-英文證照通過張數-A1</t>
  </si>
  <si>
    <t>學生達各級CEFR能力情形-英文證照通過張數-B1</t>
  </si>
  <si>
    <t>學生達各級CEFR能力情形-英文證照通過張數-B2</t>
  </si>
  <si>
    <t>本校學生結構對應B2和C1以上屬高階英文 (考一次即達畢業門檻) ，將持續推動免費英檢考照，提高B1.B2學生報考誘因。113學年度起每班將開設各班優秀B1以上學生拔尖輔導證照輔導課程，以及全班境外生班級，並藉全額報名費補助激勵潛力學生報考高階英檢證照，如搭配高額獎勵金效果可加乘。</t>
  </si>
  <si>
    <t>學生達各級CEFR能力情形-英文證照通過張數-C1</t>
  </si>
  <si>
    <t>學生達各級CEFR能力情形-英文證照通過張數-C2</t>
  </si>
  <si>
    <t>TOEIC已取消C2等級，目前本校學生多參加本項檢測，未來持續鼓勵菁英學生，改考其他有C2等級的英檢考試。</t>
  </si>
  <si>
    <t>學生非英文證照通過張數</t>
  </si>
  <si>
    <t>第二外語日韓語一年舉辦2次,施測後約半年才能取得證照,故數據未完全出來。</t>
  </si>
  <si>
    <t>面向</t>
  </si>
  <si>
    <t>開設創新創業課程教師數(學期/人)</t>
  </si>
  <si>
    <t>指標項目</t>
  </si>
  <si>
    <t>衡量方式</t>
  </si>
  <si>
    <t>修讀創新創業課程學生人次</t>
  </si>
  <si>
    <t>111年現況值</t>
  </si>
  <si>
    <t>112年現況值</t>
  </si>
  <si>
    <t>113年現況值</t>
  </si>
  <si>
    <r>
      <rPr>
        <rFont val="DFKai-SB"/>
        <color theme="1"/>
        <sz val="12.0"/>
      </rPr>
      <t>目標值採計區間
(</t>
    </r>
    <r>
      <rPr>
        <rFont val="標楷體"/>
        <color rgb="FFFF0000"/>
        <sz val="12.0"/>
      </rPr>
      <t>年度</t>
    </r>
    <r>
      <rPr>
        <rFont val="標楷體"/>
        <color theme="1"/>
        <sz val="12.0"/>
      </rPr>
      <t>)</t>
    </r>
  </si>
  <si>
    <t>114年現況值</t>
  </si>
  <si>
    <t>110年
現況值</t>
  </si>
  <si>
    <t>未達目標值之70%，相關說明</t>
  </si>
  <si>
    <t>111年
現況值</t>
  </si>
  <si>
    <t>112年
現況值</t>
  </si>
  <si>
    <t>112年目標值</t>
  </si>
  <si>
    <t>113年
現況值</t>
  </si>
  <si>
    <t>113年目標值</t>
  </si>
  <si>
    <t>114年
現況值</t>
  </si>
  <si>
    <t>114年目標值</t>
  </si>
  <si>
    <t>未達目標值之相關改善/推動措施</t>
  </si>
  <si>
    <t>115年目標值</t>
  </si>
  <si>
    <t>116年目標值</t>
  </si>
  <si>
    <t>112年
達成值</t>
  </si>
  <si>
    <t>修訂說明</t>
  </si>
  <si>
    <t>資料來源</t>
  </si>
  <si>
    <t>112年
目標值</t>
  </si>
  <si>
    <t>資料
採計區間</t>
  </si>
  <si>
    <t>113年
目標值</t>
  </si>
  <si>
    <t>填報單位</t>
  </si>
  <si>
    <t>教育部補充說明</t>
  </si>
  <si>
    <t>單位備註
(無則免)</t>
  </si>
  <si>
    <t>114年
目標值</t>
  </si>
  <si>
    <t>115年
目標值</t>
  </si>
  <si>
    <t>量化</t>
  </si>
  <si>
    <t>質化</t>
  </si>
  <si>
    <t>110-2</t>
  </si>
  <si>
    <t>111-1</t>
  </si>
  <si>
    <t>111-2</t>
  </si>
  <si>
    <t>116年
目標值</t>
  </si>
  <si>
    <t>112-1</t>
  </si>
  <si>
    <t>第一次填報</t>
  </si>
  <si>
    <t>第二次填報</t>
  </si>
  <si>
    <t>112-2</t>
  </si>
  <si>
    <t>113-1</t>
  </si>
  <si>
    <t>113-2</t>
  </si>
  <si>
    <t>114-1</t>
  </si>
  <si>
    <t>填報資料
收集方式</t>
  </si>
  <si>
    <t>114-2</t>
  </si>
  <si>
    <t>115-1</t>
  </si>
  <si>
    <t>115-2</t>
  </si>
  <si>
    <t>116-1</t>
  </si>
  <si>
    <t>統計說明
(100字元)</t>
  </si>
  <si>
    <t>備註
(無則免)</t>
  </si>
  <si>
    <t>學生專業實務技術能力推動成效</t>
  </si>
  <si>
    <t>學生通過證照數人次</t>
  </si>
  <si>
    <t>單位</t>
  </si>
  <si>
    <t>P</t>
  </si>
  <si>
    <t>739(教育部提供)</t>
  </si>
  <si>
    <r>
      <rPr>
        <rFont val="DFKai-SB"/>
        <b/>
        <color rgb="FFFF0000"/>
        <sz val="12.0"/>
      </rPr>
      <t>1048</t>
    </r>
    <r>
      <rPr>
        <rFont val="標楷體"/>
        <b val="0"/>
        <color rgb="FFFF0000"/>
        <sz val="12.0"/>
      </rPr>
      <t>(教育部提供)</t>
    </r>
  </si>
  <si>
    <t>734(教育部提供)</t>
  </si>
  <si>
    <t>(112-1)
1437(教育部提供)</t>
  </si>
  <si>
    <t>(112-2)
1151(教育部提供)</t>
  </si>
  <si>
    <t>(113-1)
1527(教育部提供)</t>
  </si>
  <si>
    <t>(113-2)
1010(教育部提供)</t>
  </si>
  <si>
    <t>(114-1)
1375(教育部提供)
達成率94.83%</t>
  </si>
  <si>
    <t>應屆畢業生完成專業實習比率</t>
  </si>
  <si>
    <t>比率</t>
  </si>
  <si>
    <t>年度</t>
  </si>
  <si>
    <r>
      <rPr>
        <rFont val="DFKai-SB"/>
        <color theme="1"/>
        <sz val="20.0"/>
      </rPr>
      <t xml:space="preserve">113學年度-完成實習學生數/應屆畢業生數 
</t>
    </r>
    <r>
      <rPr>
        <rFont val="標楷體"/>
        <color rgb="FFFF0000"/>
        <sz val="20.0"/>
      </rPr>
      <t>71.06</t>
    </r>
    <r>
      <rPr>
        <rFont val="標楷體"/>
        <color theme="1"/>
        <sz val="20.0"/>
      </rPr>
      <t>%</t>
    </r>
  </si>
  <si>
    <t>校基庫
表4-8-2</t>
  </si>
  <si>
    <t>114學年度
第1學期</t>
  </si>
  <si>
    <r>
      <rPr>
        <rFont val="DFKai-SB"/>
        <color theme="1"/>
        <sz val="12.0"/>
      </rPr>
      <t xml:space="preserve">教務處
</t>
    </r>
    <r>
      <rPr>
        <rFont val="標楷體"/>
        <color rgb="FFFF0000"/>
        <sz val="12.0"/>
      </rPr>
      <t>學生組</t>
    </r>
  </si>
  <si>
    <t>1.排除技術士證照-丙級
2.證照類別與就讀科系相關</t>
  </si>
  <si>
    <t>X</t>
  </si>
  <si>
    <r>
      <rPr>
        <rFont val="標楷體"/>
        <b/>
        <color rgb="FFFF0000"/>
        <sz val="12.0"/>
      </rPr>
      <t>33</t>
    </r>
    <r>
      <rPr>
        <rFont val="標楷體"/>
        <color theme="1"/>
        <sz val="12.0"/>
      </rPr>
      <t>(教育部提供)</t>
    </r>
  </si>
  <si>
    <t>教務處
學生組</t>
  </si>
  <si>
    <t>2026(教育部提供)
後續估算約292</t>
  </si>
  <si>
    <t>(112-1)
3019(教育部提供)
後續估算約151</t>
  </si>
  <si>
    <t>資料採計：學年計算</t>
  </si>
  <si>
    <t>(112-2)
151(教育部提供)</t>
  </si>
  <si>
    <t>(113-1)
31(教育部提供)</t>
  </si>
  <si>
    <t>(113-2)
39(教育部提供)
達成率48.75%</t>
  </si>
  <si>
    <r>
      <rPr>
        <rFont val="DFKai-SB"/>
        <color theme="1"/>
        <sz val="22.0"/>
      </rPr>
      <t xml:space="preserve">(114-1)
308(教育部提供)
</t>
    </r>
    <r>
      <rPr>
        <rFont val="標楷體"/>
        <color rgb="FFFF0000"/>
        <sz val="22.0"/>
      </rPr>
      <t>學務處覆核後，是154人次</t>
    </r>
  </si>
  <si>
    <t>經確認，係因填報時誤重複上傳資料，導致數據由154人次倍增為308人次，謹此致歉。後續將加強填報前後之檢核作業，除確認人次統計外，亦將逐筆核對填報內容，以避免重複填報情形再次發生，確保資料正確無誤。</t>
  </si>
  <si>
    <t>產業鏈結實務專題製作件數
1.連結計畫、2.業界共同指導、3.使用產業場域、4.產業應用議題等</t>
  </si>
  <si>
    <t>件數</t>
  </si>
  <si>
    <r>
      <rPr>
        <rFont val="標楷體"/>
        <b/>
        <strike/>
        <color theme="1"/>
        <sz val="12.0"/>
      </rPr>
      <t>2150</t>
    </r>
    <r>
      <rPr>
        <rFont val="標楷體"/>
        <b/>
        <color theme="1"/>
        <sz val="12.0"/>
      </rPr>
      <t xml:space="preserve">
80</t>
    </r>
  </si>
  <si>
    <r>
      <rPr>
        <rFont val="標楷體"/>
        <b/>
        <strike/>
        <color theme="1"/>
        <sz val="12.0"/>
      </rPr>
      <t>2200</t>
    </r>
    <r>
      <rPr>
        <rFont val="標楷體"/>
        <b/>
        <color theme="1"/>
        <sz val="12.0"/>
      </rPr>
      <t xml:space="preserve">
80</t>
    </r>
  </si>
  <si>
    <r>
      <rPr>
        <rFont val="標楷體"/>
        <b/>
        <strike/>
        <color theme="1"/>
        <sz val="12.0"/>
      </rPr>
      <t>2250</t>
    </r>
    <r>
      <rPr>
        <rFont val="標楷體"/>
        <b/>
        <color theme="1"/>
        <sz val="12.0"/>
      </rPr>
      <t xml:space="preserve">
85</t>
    </r>
  </si>
  <si>
    <t>護理學院：28件/160人次修課
醫健學院：43件/176人次修課
環生學院：42件/155人次修課
人管學院：43件/192人次修課
全校：156件/683人次修課</t>
  </si>
  <si>
    <r>
      <rPr>
        <rFont val="標楷體"/>
        <b/>
        <strike/>
        <color theme="1"/>
        <sz val="12.0"/>
      </rPr>
      <t>2300</t>
    </r>
    <r>
      <rPr>
        <rFont val="標楷體"/>
        <b/>
        <color theme="1"/>
        <sz val="12.0"/>
      </rPr>
      <t xml:space="preserve">
85</t>
    </r>
  </si>
  <si>
    <r>
      <rPr>
        <rFont val="標楷體"/>
        <b/>
        <strike/>
        <color theme="1"/>
        <sz val="12.0"/>
      </rPr>
      <t>2350</t>
    </r>
    <r>
      <rPr>
        <rFont val="標楷體"/>
        <b/>
        <color theme="1"/>
        <sz val="12.0"/>
      </rPr>
      <t xml:space="preserve">
90</t>
    </r>
  </si>
  <si>
    <r>
      <rPr>
        <rFont val="標楷體"/>
        <b/>
        <strike/>
        <color theme="1"/>
        <sz val="12.0"/>
      </rPr>
      <t>2400</t>
    </r>
    <r>
      <rPr>
        <rFont val="標楷體"/>
        <b/>
        <color theme="1"/>
        <sz val="12.0"/>
      </rPr>
      <t xml:space="preserve">
90</t>
    </r>
  </si>
  <si>
    <t>校基庫
表4-8-1</t>
  </si>
  <si>
    <r>
      <rPr>
        <rFont val="DFKai-SB"/>
        <color theme="1"/>
        <sz val="20.0"/>
      </rPr>
      <t>護理學院：41件/243人次修課
醫健學院：52件/225人次修課
環生學院：41件/172人次修課
人管學院：42件/172人次修課
全校：</t>
    </r>
    <r>
      <rPr>
        <rFont val="標楷體"/>
        <b/>
        <color theme="1"/>
        <sz val="20.0"/>
      </rPr>
      <t>176件</t>
    </r>
    <r>
      <rPr>
        <rFont val="標楷體"/>
        <color theme="1"/>
        <sz val="20.0"/>
      </rPr>
      <t>/812人次修課</t>
    </r>
  </si>
  <si>
    <t>學務處
課指組</t>
  </si>
  <si>
    <r>
      <rPr>
        <rFont val="DFKai-SB"/>
        <color theme="1"/>
        <sz val="18.0"/>
      </rPr>
      <t>護理學院：35件/199人次修課
醫健學院：64件/242人次修課
環生學院：41件/158人次修課
人管學院：31件/181人次修課
全校：</t>
    </r>
    <r>
      <rPr>
        <rFont val="標楷體"/>
        <color rgb="FFFF0000"/>
        <sz val="18.0"/>
      </rPr>
      <t>171件</t>
    </r>
    <r>
      <rPr>
        <rFont val="標楷體"/>
        <color theme="1"/>
        <sz val="18.0"/>
      </rPr>
      <t>/780人次修課</t>
    </r>
  </si>
  <si>
    <t>協助學生專業實務技術能力提升之推動策略描述</t>
  </si>
  <si>
    <t>為培養學生專業實務能力，藉由系科專業證照盤點，聚焦核心證照及分級獎勵制度，驅動學生超越自我、挑戰自我與進階發展，並由各系提出學生專業證照輔導班計畫，輔導學生考取證照，以提昇學生考照率及未來就業能力。</t>
  </si>
  <si>
    <t xml:space="preserve">140
</t>
  </si>
  <si>
    <t>學校自填</t>
  </si>
  <si>
    <t>各系科回報</t>
  </si>
  <si>
    <t>教務處</t>
  </si>
  <si>
    <t>為培養學生專業實務能力，由系科進行專業證照盤點，以及核心證照及分級獎勵制度，並由各系提出學生專業證照輔導班計畫，輔導學生考取證照，目前僅1系完成結案，各系仍陸續在執行課程，將於後續考取證照後繳交成果報告。</t>
  </si>
  <si>
    <t>為培養學生專業實務能力，由系科進行專業證照盤點，以及核心證照及分級獎勵制度，並由各系提出學生專業證照輔導班計畫，輔導學生考取證照，目前已9案完成開班，因部分證照尚未完成考照，待成績放榜後將陸續追蹤成果報告繳交。</t>
  </si>
  <si>
    <t>(112-1)
為培養學生專業實務能力，藉由系科專業證照盤點，聚焦核心證照及分級獎勵制度，驅動學生超越自我、挑戰自我與進階發展，並由各系提出學生專業證照輔導班計畫，輔導學生考取證照，以提昇學生考照率及未來就業能力。</t>
  </si>
  <si>
    <t>(112-2)
為培養學生專業實務能力，藉由系科專業證照盤點，聚焦核心證照及分級獎勵制度，驅動學生超越自我、挑戰自我與進階發展，並由各系提出學生專業證照輔導班計畫，輔導學生考取證照，以提昇學生考照率及未來就業能力。</t>
  </si>
  <si>
    <t>(113-1)
為培養學生專業實務能力，藉由系科專業證照盤點，聚焦核心證照及分級獎勵制度，驅動學生超越自我、挑戰自我與進階發展，並由各系提出學生專業證照輔導班計畫，輔導學生考取證照，以提昇學生考照率及未來就業能力。</t>
  </si>
  <si>
    <t>(113-2)  
為培養學生專業實務能力，藉由系科專業證照盤點，聚焦核心證照及分級獎勵制度，驅動學生超越自我、挑戰自我與進階發展，並由各系提出學生專業證照輔導班計畫，輔導學生考取證照，以提昇學生考照率及未來就業能力。</t>
  </si>
  <si>
    <t>(114-1)
為培養學生專業實務能力，藉由系科專業證照盤點，聚焦核心證照及分級獎勵制度，驅動學生超越自我、挑戰自我與進階發展，並由各系提出學生專業證照輔導班計畫，輔導學生考取證照，以提昇學生考照率及未來就業能力。</t>
  </si>
  <si>
    <t>業界回饋畢業生職場實務滿意度</t>
  </si>
  <si>
    <r>
      <rPr>
        <rFont val="DFKai-SB"/>
        <color theme="1"/>
        <sz val="12.0"/>
      </rPr>
      <t>持續強化職涯輔導，建立長期畢業生雇用滿意度調查追蹤機制，並回饋校</t>
    </r>
    <r>
      <rPr>
        <rFont val="標楷體"/>
        <color rgb="FFFF0000"/>
        <sz val="12.0"/>
      </rPr>
      <t>研</t>
    </r>
    <r>
      <rPr>
        <rFont val="標楷體"/>
        <color theme="1"/>
        <sz val="12.0"/>
      </rPr>
      <t>室及學系，運用與卓參。</t>
    </r>
  </si>
  <si>
    <t>(110年度)
89.85%</t>
  </si>
  <si>
    <t>(111年度)
94.27%</t>
  </si>
  <si>
    <t>(112年度)
93.62%</t>
  </si>
  <si>
    <r>
      <rPr>
        <rFont val="DFKai-SB"/>
        <color theme="1"/>
        <sz val="12.0"/>
      </rPr>
      <t xml:space="preserve">教務處
</t>
    </r>
    <r>
      <rPr>
        <rFont val="標楷體"/>
        <color rgb="FFFF0000"/>
        <sz val="12.0"/>
      </rPr>
      <t>學生組</t>
    </r>
  </si>
  <si>
    <t>本校年度雇主滿意度調查統計分析資料</t>
  </si>
  <si>
    <t>學務處
職發中心</t>
  </si>
  <si>
    <t>依據本校年度雇主滿意度調查統計分析資料填報</t>
  </si>
  <si>
    <t>教師實務經驗提升成效</t>
  </si>
  <si>
    <t>-</t>
  </si>
  <si>
    <r>
      <rPr>
        <rFont val="DFKai-SB"/>
        <color theme="1"/>
        <sz val="26.0"/>
      </rPr>
      <t>教師參與實務研習人次</t>
    </r>
    <r>
      <rPr>
        <rFont val="標楷體"/>
        <color rgb="FFFF0000"/>
        <sz val="26.0"/>
      </rPr>
      <t>(含</t>
    </r>
    <r>
      <rPr>
        <rFont val="標楷體"/>
        <b/>
        <color rgb="FFFF0000"/>
        <sz val="26.0"/>
      </rPr>
      <t>校內外</t>
    </r>
    <r>
      <rPr>
        <rFont val="標楷體"/>
        <color rgb="FFFF0000"/>
        <sz val="26.0"/>
      </rPr>
      <t>研習)</t>
    </r>
  </si>
  <si>
    <r>
      <rPr>
        <rFont val="標楷體"/>
        <b/>
        <color rgb="FFFF0000"/>
        <sz val="12.0"/>
      </rPr>
      <t>7.92%</t>
    </r>
    <r>
      <rPr>
        <rFont val="標楷體"/>
        <color theme="1"/>
        <sz val="12.0"/>
      </rPr>
      <t>(教育部提供1/10更新)</t>
    </r>
  </si>
  <si>
    <t>人次</t>
  </si>
  <si>
    <t>(112-1)
27.18%(教育部提供)</t>
  </si>
  <si>
    <t>(112-2)
37.5%(教育部提供)</t>
  </si>
  <si>
    <t>(113-1)
38.46%(教育部提供)</t>
  </si>
  <si>
    <t>(113-2)
41.73%(教育部提供)</t>
  </si>
  <si>
    <t>(114-1)
41.34%
(教育部提供)
達成率82.68%</t>
  </si>
  <si>
    <t>(114-2)
45.02%
(教育部提供)
達成率90.04%</t>
  </si>
  <si>
    <t>2159
達成率94.69%</t>
  </si>
  <si>
    <t>校基庫表1-7</t>
  </si>
  <si>
    <t>數據資料來源為「校基庫資料」，已包含「教師評鑑內的研習場次」</t>
  </si>
  <si>
    <t>教務處
教師組</t>
  </si>
  <si>
    <t>校基庫
表1‐1</t>
  </si>
  <si>
    <t>每年3月僅填寫一次
資料採計；年度計算</t>
  </si>
  <si>
    <t>114學年度
第2學期</t>
  </si>
  <si>
    <t>研發處</t>
  </si>
  <si>
    <t>1.【計算方式】
全校技術及職業教育法第26條適用對象已完成當輪次半年與專業或技術有關研習或研究人數÷全校技術及職業教育法第26條適用對象人數
2.本項「全校技術及職業教育法第26條適用對象已完成當輪次半年與專業或技術有關研習或研究人數」，係技專校院校務資料庫《表1-17-1教師推動半年產業研習或研究資料表》所有已完成當輪次研習或研究人數，非僅限資料採計區間內已完成人數。</t>
  </si>
  <si>
    <t>產學雙師共教教師數(含業師協同.實務專題業師)</t>
  </si>
  <si>
    <t>(112-1)
7</t>
  </si>
  <si>
    <t>(112-2)
7</t>
  </si>
  <si>
    <t>(113-1)
7</t>
  </si>
  <si>
    <t>人</t>
  </si>
  <si>
    <t>(113-2)
7</t>
  </si>
  <si>
    <t>(114-1)
7
達成率87.5%</t>
  </si>
  <si>
    <t>(109學年度)
85</t>
  </si>
  <si>
    <t>(114-2)
7
達成率70%</t>
  </si>
  <si>
    <t>(110學年度)
145</t>
  </si>
  <si>
    <t>(111學年度)
150</t>
  </si>
  <si>
    <t>112學年業師協同130人次+專題共授23人次，共153人次</t>
  </si>
  <si>
    <t>此數據與上學期持平，距離目標值仍有成長空間，將持續推動各系聘任具有國際技能競賽獲獎之選手擔任教學或實作指導人員。</t>
  </si>
  <si>
    <r>
      <rPr>
        <rFont val="DFKai-SB"/>
        <color theme="1"/>
        <sz val="18.0"/>
      </rPr>
      <t>1.業師協同教學共138人次:
113-1(70人次)+113-2(68人次)
2.實務專題業師，共計18人次：113-1(3人次)+113-2(15人次)。
共計：</t>
    </r>
    <r>
      <rPr>
        <rFont val="標楷體"/>
        <b/>
        <color rgb="FFFF0000"/>
        <sz val="18.0"/>
      </rPr>
      <t>156人次</t>
    </r>
    <r>
      <rPr>
        <rFont val="標楷體"/>
        <color theme="1"/>
        <sz val="18.0"/>
      </rPr>
      <t>。</t>
    </r>
  </si>
  <si>
    <t>(112學年度)
120</t>
  </si>
  <si>
    <t>(113學年度)
120</t>
  </si>
  <si>
    <t>(114學年度)
120</t>
  </si>
  <si>
    <t>(115學年度)
120</t>
  </si>
  <si>
    <t>校基庫
表3-7</t>
  </si>
  <si>
    <t>依10月15日校基庫填報110-2業師資料</t>
  </si>
  <si>
    <t>教務處
課註組</t>
  </si>
  <si>
    <t>教師推動創新教學成效之提升成效</t>
  </si>
  <si>
    <t>教師創新教學產出作品件數(修正)</t>
  </si>
  <si>
    <t>本次先由(原)校研室調查</t>
  </si>
  <si>
    <t>協助教師實務經驗提升策略描述</t>
  </si>
  <si>
    <t>教師教學產出成果競賽：41
數位教材製作：12
53</t>
  </si>
  <si>
    <t>1.教師教學產出成果競賽：49
2.數位教材製作：35
合計:84</t>
  </si>
  <si>
    <r>
      <rPr>
        <rFont val="DFKai-SB"/>
        <color theme="1"/>
        <sz val="18.0"/>
      </rPr>
      <t>1.教師教學產出成果競賽：43
2.數位教材製作：26
合計:</t>
    </r>
    <r>
      <rPr>
        <rFont val="標楷體"/>
        <b/>
        <color rgb="FFFF0000"/>
        <sz val="18.0"/>
      </rPr>
      <t>69</t>
    </r>
  </si>
  <si>
    <t xml:space="preserve">為提升教師實務經驗與實務教學能力，本校協助教師進行產業研習或研究，具體做法包括(1)藉由整體獎補助機制，推動教師進行先期產學合作；(2)藉由整體獎補助機制，鼓勵教師參加實務研習；(3)鼓勵教師參與教育部補助技專校院辦理教師產業研習研究計畫，赴產業進行深度實務研習及研究等，後續將持續追蹤，協助教師於期限內完成產業研習或研究。
</t>
  </si>
  <si>
    <t>為提升教師實務經驗與實務教學能力，本校協助教師進行產業研習或研究，具體做法包括(1)藉由整體獎補助機制，推動教師進行先期產學合作；(2)藉由整體獎補助機制，鼓勵教師參加實務研習；(3)鼓勵教師參與教育部補助技專校院辦理教師產業研習研究計畫，赴產業進行深度實務研習及研究等，後續將持續追蹤，協助教師於期限內完成產業研習或研究。</t>
  </si>
  <si>
    <t>(112-2)
為提升教師實務經驗與實務教學能力，本校協助教師進行產業研習或研究，具體做法包括(1)藉由整體獎補助機制，推動教師進行先期產學合作；(2)藉由整體獎補助機制，鼓勵教師參加實務研習；(3)鼓勵教師參與教育部補助技專校院辦理教師產業研習研究計畫，赴產業進行深度實務研習及研究等，後續將持續追蹤，協助教師於期限內完成產業研習或研究。</t>
  </si>
  <si>
    <t>(113-1)
為提升教師實務經驗與實務教學能力，本校協助教師進行產業研習或研究，具體做法包括(1)藉由整體獎補助機制，推動教師進行先期產學合作；(2)藉由整體獎補助機制，鼓勵教師參加實務研習；(3)鼓勵教師參與教育部補助技專校院辦理教師產業研習研究計畫，赴產業進行深度實務研習及研究等，後續將持續追蹤，協助教師於期限內完成產業研習或研究。</t>
  </si>
  <si>
    <t>(113-2)
為提升教師實務經驗與實務教學能力，本校協助教師進行產業研習或研究，具體做法包括(1)藉由整體獎補助機制，推動教師進行先期產學合作；(2)藉由整體獎補助機制，鼓勵教師參加實務研習；(3)鼓勵教師參與教育部補助技專校院辦理教師產業研習研究計畫，赴產業進行深度實務研習及研究等，後續將持續追蹤，協助教師於期限內完成產業研習或研究。</t>
  </si>
  <si>
    <t>(114-1)
為提升教師實務經驗與實務教學能力，本校協助教師進行產業研習或研究，具體做法包括(1)藉由整體獎補助機制，推動教師進行先期產學合作；(2)藉由整體獎補助機制，鼓勵教師參加實務研習；(3)鼓勵教師參與教育部補助技專校院辦理教師產業研習研究計畫，赴產業進行深度實務研習及研究等，後續將持續追蹤，協助教師於期限內完成產業研習或研究。</t>
  </si>
  <si>
    <t>(114-2)
為提升教師實務經驗與實務教學能力，本校協助教師進行產業研習或研究，具體做法包括(1)藉由整體獎補助機制，推動教師進行先期產學合作；(2)藉由整體獎補助機制，鼓勵教師參加實務研習；(3)鼓勵教師參與教育部補助技專校院辦理教師產業研習研究計畫，赴產業進行深度實務研習及研究等，後續將持續追蹤，協助教師於期限內完成產業研習或研究。</t>
  </si>
  <si>
    <t>以年度採計參與競賽件數</t>
  </si>
  <si>
    <t>教師教學產出成果競賽人次
資料採計：每年度12月份</t>
  </si>
  <si>
    <t>教師從事各類教學計畫件數(新增)</t>
  </si>
  <si>
    <t>560(教育部提供)</t>
  </si>
  <si>
    <t>520(教育部提供)</t>
  </si>
  <si>
    <t>(112-1)
459(教育部提供)</t>
  </si>
  <si>
    <t>(112-2)
410(教育部提供)</t>
  </si>
  <si>
    <t>(113-1)
424(教育部提供)</t>
  </si>
  <si>
    <t>(113-2)
173(教育部提供)</t>
  </si>
  <si>
    <t>(114-1)
225(教育部提供)</t>
  </si>
  <si>
    <t>(114-2)
131
(教育部提供)
達成率32.75%</t>
  </si>
  <si>
    <t>1.112年改進教學計畫通過11件。
2.112學年度教學實踐通過9件。
3.教務處業管之教學類計畫25件。
45</t>
  </si>
  <si>
    <t>1.加強宣導，請老師務必至少有一門課要實施6周以上的創新教學。
2.因與目標值差異大，建議修正目標值。</t>
  </si>
  <si>
    <r>
      <rPr>
        <rFont val="DFKai-SB"/>
        <color theme="1"/>
        <sz val="20.0"/>
      </rPr>
      <t>1.113年創新教學研究計畫通過15件。
2.教學實踐通過10件</t>
    </r>
    <r>
      <rPr>
        <rFont val="Microsoft JhengHei"/>
        <color theme="1"/>
        <sz val="20.0"/>
      </rPr>
      <t>。</t>
    </r>
    <r>
      <rPr>
        <rFont val="標楷體"/>
        <color theme="1"/>
        <sz val="20.0"/>
      </rPr>
      <t xml:space="preserve">
3.教務處業管之教學類計畫21件。
合計:46</t>
    </r>
  </si>
  <si>
    <r>
      <rPr>
        <rFont val="DFKai-SB"/>
        <color theme="1"/>
        <sz val="18.0"/>
      </rPr>
      <t>1.114年創新教學研究計畫通過15件。
2.教學實踐通過10件</t>
    </r>
    <r>
      <rPr>
        <rFont val="Microsoft JhengHei"/>
        <color theme="1"/>
        <sz val="18.0"/>
      </rPr>
      <t>。</t>
    </r>
    <r>
      <rPr>
        <rFont val="標楷體"/>
        <color theme="1"/>
        <sz val="18.0"/>
      </rPr>
      <t xml:space="preserve">
3.教務處業管之教學類計畫15件。
合計:</t>
    </r>
    <r>
      <rPr>
        <rFont val="標楷體"/>
        <b/>
        <color rgb="FFFF0000"/>
        <sz val="18.0"/>
      </rPr>
      <t>40</t>
    </r>
    <r>
      <rPr>
        <rFont val="標楷體"/>
        <color theme="1"/>
        <sz val="18.0"/>
      </rPr>
      <t>件</t>
    </r>
  </si>
  <si>
    <t>修訂創新教學實施週數至少6週，以及考量開課數下降，故調降目標值。</t>
  </si>
  <si>
    <t>校基庫
表3-5</t>
  </si>
  <si>
    <r>
      <rPr>
        <rFont val="DFKai-SB"/>
        <color theme="1"/>
        <sz val="12.0"/>
      </rPr>
      <t>教務處</t>
    </r>
    <r>
      <rPr>
        <rFont val="標楷體"/>
        <color rgb="FFFF0000"/>
        <sz val="12.0"/>
      </rPr>
      <t>課註組</t>
    </r>
  </si>
  <si>
    <r>
      <rPr>
        <rFont val="DFKai-SB"/>
        <color theme="1"/>
        <sz val="12.0"/>
      </rPr>
      <t>1.</t>
    </r>
    <r>
      <rPr>
        <rFont val="標楷體"/>
        <b/>
        <color rgb="FFFF0000"/>
        <sz val="12.0"/>
      </rPr>
      <t>不重複計算</t>
    </r>
    <r>
      <rPr>
        <rFont val="標楷體"/>
        <color theme="1"/>
        <sz val="12.0"/>
      </rPr>
      <t>創新教學授課教師數
2.多師共授計算方式，該位教師僅列計一次</t>
    </r>
  </si>
  <si>
    <t>1.改進教學計畫通過人數
2.教學實踐通過人數
3.教務處業管之教學類計畫件數</t>
  </si>
  <si>
    <t>73,405(教育部提供)</t>
  </si>
  <si>
    <t>61,602(教育部提供)</t>
  </si>
  <si>
    <t>(112-1)
44559(教育部提供)</t>
  </si>
  <si>
    <t>(112-2)
34520(教育部提供)</t>
  </si>
  <si>
    <t>(113-1)
41709(教育部提供)</t>
  </si>
  <si>
    <t>(113-2)
9415(教育部提供)</t>
  </si>
  <si>
    <t>(114-1)
12337(教育部提供)</t>
  </si>
  <si>
    <t>資料採計：每年度12月</t>
  </si>
  <si>
    <t>(114-2)
7494
(教育部提供)
達成率23.42%</t>
  </si>
  <si>
    <t>1.加強宣導，請老師務必至少有一門課要實施6周以上的創新教學。
2.因少子化影響，致使修讀人次下滑，建議修正目標值。</t>
  </si>
  <si>
    <r>
      <rPr>
        <rFont val="DFKai-SB"/>
        <color theme="1"/>
        <sz val="12.0"/>
      </rPr>
      <t>教務處</t>
    </r>
    <r>
      <rPr>
        <rFont val="標楷體"/>
        <color rgb="FFFF0000"/>
        <sz val="12.0"/>
      </rPr>
      <t>課註組</t>
    </r>
  </si>
  <si>
    <t>學生資訊科技能力推動成效</t>
  </si>
  <si>
    <t>修讀數位科技微學程結業人數</t>
  </si>
  <si>
    <t>促進創新教學課程之教學及學習成效提升之推動策略描述</t>
  </si>
  <si>
    <t>研發創新教學方式，助於刺激學生學習動機及上課熱忱、以提升教學成效目標之達成。</t>
  </si>
  <si>
    <t>(112-2)
研發創新教學方式，助於刺激學生學習動機及上課熱忱、以提升教學成效目標之達成。</t>
  </si>
  <si>
    <t>(113-1)
研發創新教學方式，助於刺激學生學習動機及上課熱忱、以提升教學成效目標之達成。</t>
  </si>
  <si>
    <t>(113-2)
研發創新教學方式，助於刺激學生學習動機及上課熱忱、以提升教學成效目標之達成。</t>
  </si>
  <si>
    <t xml:space="preserve">(114-1)
研發創新教學方式，助於刺激學生學習動機及上課熱忱、以提升教學成效目標之達成。
</t>
  </si>
  <si>
    <t>(114-2)
研發創新教學方式，助於刺激學生學習動機及上課熱忱、以提升教學成效目標之達成。</t>
  </si>
  <si>
    <t>(300字元)
研發創新教學方式，助於刺激學生學習動機及上課熱忱、以提升教學成效目標之達成。</t>
  </si>
  <si>
    <t>綜整實作競賽參賽組數</t>
  </si>
  <si>
    <t>共教中心</t>
  </si>
  <si>
    <r>
      <rPr>
        <rFont val="DFKai-SB"/>
        <color theme="1"/>
        <sz val="12.0"/>
      </rPr>
      <t>教務處</t>
    </r>
    <r>
      <rPr>
        <rFont val="標楷體"/>
        <color rgb="FFFF0000"/>
        <sz val="12.0"/>
      </rPr>
      <t>課註組</t>
    </r>
  </si>
  <si>
    <t>學生中文閱讀寫作能力提升成效</t>
  </si>
  <si>
    <t>中文閱讀書寫表達競賽人次</t>
  </si>
  <si>
    <t>學生跨域學習能力提升成效</t>
  </si>
  <si>
    <r>
      <rPr>
        <rFont val="標楷體"/>
        <strike/>
        <color theme="1"/>
        <sz val="22.0"/>
      </rPr>
      <t>教育部草案:修讀跨域學習課程學生人次</t>
    </r>
    <r>
      <rPr>
        <rFont val="標楷體"/>
        <color theme="1"/>
        <sz val="22.0"/>
      </rPr>
      <t xml:space="preserve">
</t>
    </r>
    <r>
      <rPr>
        <rFont val="標楷體"/>
        <strike/>
        <color theme="1"/>
        <sz val="22.0"/>
      </rPr>
      <t>教務處修訂:修讀跨域學習課程學生人</t>
    </r>
    <r>
      <rPr>
        <rFont val="標楷體"/>
        <b/>
        <strike/>
        <color rgb="FFFF0000"/>
        <sz val="22.0"/>
        <u/>
      </rPr>
      <t>數</t>
    </r>
  </si>
  <si>
    <t>422(5月文學獎81人、6月SDGs75人、6月SDL89人、11月SDL81人、11月耕讀96人)</t>
  </si>
  <si>
    <r>
      <rPr>
        <rFont val="標楷體"/>
        <b/>
        <color theme="1"/>
        <sz val="20.0"/>
      </rPr>
      <t>787</t>
    </r>
    <r>
      <rPr>
        <rFont val="標楷體"/>
        <color theme="1"/>
        <sz val="20.0"/>
      </rPr>
      <t xml:space="preserve"> (本校學生-1月程式設計競賽298人、5月SDGs競賽18人、6月SDL競賽59人/天使嶺81人/程式設計競賽160人、11月SDL競賽66人、12月耕讀競賽105人)</t>
    </r>
  </si>
  <si>
    <t>免填</t>
  </si>
  <si>
    <r>
      <rPr>
        <rFont val="標楷體"/>
        <b/>
        <color rgb="FFFF0000"/>
        <sz val="18.0"/>
      </rPr>
      <t>1335</t>
    </r>
    <r>
      <rPr>
        <rFont val="標楷體"/>
        <color theme="1"/>
        <sz val="18.0"/>
      </rPr>
      <t>(本校學生-1月程式設計競賽587人、5月天使嶺文學獎競賽127人、6月程式設計競賽460人/SDL競賽20人、11月耕讀課外閱讀心得競賽117人/SDL競賽24人)</t>
    </r>
  </si>
  <si>
    <r>
      <rPr>
        <rFont val="標楷體"/>
        <strike/>
        <color theme="1"/>
        <sz val="12.0"/>
      </rPr>
      <t>420</t>
    </r>
    <r>
      <rPr>
        <rFont val="標楷體"/>
        <color theme="1"/>
        <sz val="12.0"/>
      </rPr>
      <t xml:space="preserve">
1000</t>
    </r>
  </si>
  <si>
    <r>
      <rPr>
        <rFont val="標楷體"/>
        <strike/>
        <color theme="1"/>
        <sz val="12.0"/>
      </rPr>
      <t>430</t>
    </r>
    <r>
      <rPr>
        <rFont val="標楷體"/>
        <color theme="1"/>
        <sz val="12.0"/>
      </rPr>
      <t xml:space="preserve">
1200</t>
    </r>
  </si>
  <si>
    <r>
      <rPr>
        <rFont val="標楷體"/>
        <strike/>
        <color theme="1"/>
        <sz val="12.0"/>
      </rPr>
      <t>440</t>
    </r>
    <r>
      <rPr>
        <rFont val="標楷體"/>
        <color theme="1"/>
        <sz val="12.0"/>
      </rPr>
      <t xml:space="preserve">
1400</t>
    </r>
  </si>
  <si>
    <t>中文耕讀課外閱讀心得競賽/天使嶺文學獎/SDGs簡報競賽參與人數</t>
  </si>
  <si>
    <t>學生英語能力提升成效</t>
  </si>
  <si>
    <t>專業英文ESP/EAP/EMI課程（含系科專業英文、學術英文與全校EMI課程）修課人次</t>
  </si>
  <si>
    <t>1-1</t>
  </si>
  <si>
    <r>
      <rPr>
        <rFont val="DFKai-SB"/>
        <color theme="1"/>
        <sz val="18.0"/>
      </rPr>
      <t>113-2：702人次
114-1：720人次
合計</t>
    </r>
    <r>
      <rPr>
        <rFont val="標楷體"/>
        <b/>
        <color rgb="FFFF0000"/>
        <sz val="18.0"/>
      </rPr>
      <t>1422</t>
    </r>
    <r>
      <rPr>
        <rFont val="標楷體"/>
        <color theme="1"/>
        <sz val="18.0"/>
      </rPr>
      <t>人次</t>
    </r>
  </si>
  <si>
    <t>修讀跨域學習課程學生人次-雙主修</t>
  </si>
  <si>
    <r>
      <rPr>
        <rFont val="標楷體"/>
        <strike/>
        <color theme="1"/>
        <sz val="12.0"/>
      </rPr>
      <t>900</t>
    </r>
    <r>
      <rPr>
        <rFont val="標楷體"/>
        <color theme="1"/>
        <sz val="12.0"/>
      </rPr>
      <t xml:space="preserve">
650</t>
    </r>
  </si>
  <si>
    <t>(男):22
(女):126
(教育部提供)</t>
  </si>
  <si>
    <r>
      <rPr>
        <rFont val="標楷體"/>
        <strike/>
        <color theme="1"/>
        <sz val="12.0"/>
      </rPr>
      <t>950</t>
    </r>
    <r>
      <rPr>
        <rFont val="標楷體"/>
        <color theme="1"/>
        <sz val="12.0"/>
      </rPr>
      <t xml:space="preserve">
660</t>
    </r>
  </si>
  <si>
    <r>
      <rPr>
        <rFont val="標楷體"/>
        <strike/>
        <color theme="1"/>
        <sz val="12.0"/>
      </rPr>
      <t>1000</t>
    </r>
    <r>
      <rPr>
        <rFont val="標楷體"/>
        <color theme="1"/>
        <sz val="12.0"/>
      </rPr>
      <t xml:space="preserve">
670</t>
    </r>
  </si>
  <si>
    <r>
      <rPr>
        <rFont val="DFKai-SB"/>
        <color theme="1"/>
        <sz val="12.0"/>
      </rPr>
      <t>(男):</t>
    </r>
    <r>
      <rPr>
        <rFont val="標楷體"/>
        <color rgb="FFFF0000"/>
        <sz val="12.0"/>
      </rPr>
      <t>15</t>
    </r>
    <r>
      <rPr>
        <rFont val="標楷體"/>
        <color theme="1"/>
        <sz val="12.0"/>
      </rPr>
      <t xml:space="preserve">
(女):</t>
    </r>
    <r>
      <rPr>
        <rFont val="標楷體"/>
        <color rgb="FFFF0000"/>
        <sz val="12.0"/>
      </rPr>
      <t>94</t>
    </r>
    <r>
      <rPr>
        <rFont val="標楷體"/>
        <color theme="1"/>
        <sz val="12.0"/>
      </rPr>
      <t xml:space="preserve">
109</t>
    </r>
  </si>
  <si>
    <t>因應學生數減少，調降目標值。</t>
  </si>
  <si>
    <t>(男)11
(女)84
(教育部提供)
95</t>
  </si>
  <si>
    <t>(112-1)
(男)9
(女)60
(教育部提供)
69</t>
  </si>
  <si>
    <t>(112-2)
(男)8
(女)74
(教育部提供)
82</t>
  </si>
  <si>
    <t>(113-1)
(男)6
(女)47
(教育部提供)
53</t>
  </si>
  <si>
    <t>(113-2)
(男)5
(女)53
(教育部提供)
58</t>
  </si>
  <si>
    <t>(114-1)
(男)2
(女)22
(教育部提供)
合計24，達成率60%</t>
  </si>
  <si>
    <t>1.雙主修應修課程較繁重、跨系修課恐衝堂，以及學生擔心延畢風險，導致修讀意願不高。
2.未來將於每學期之跨域學習說明會，加強宣導，讓學生了解輔系之益處，以提升學生修讀意願。</t>
  </si>
  <si>
    <r>
      <rPr>
        <rFont val="標楷體"/>
        <strike/>
        <color theme="1"/>
        <sz val="12.0"/>
      </rPr>
      <t>60</t>
    </r>
    <r>
      <rPr>
        <rFont val="標楷體"/>
        <color theme="1"/>
        <sz val="12.0"/>
      </rPr>
      <t xml:space="preserve">
40</t>
    </r>
  </si>
  <si>
    <r>
      <rPr>
        <rFont val="標楷體"/>
        <strike/>
        <color theme="1"/>
        <sz val="12.0"/>
      </rPr>
      <t>60</t>
    </r>
    <r>
      <rPr>
        <rFont val="標楷體"/>
        <color theme="1"/>
        <sz val="12.0"/>
      </rPr>
      <t xml:space="preserve">
40</t>
    </r>
  </si>
  <si>
    <r>
      <rPr>
        <rFont val="標楷體"/>
        <strike/>
        <color theme="1"/>
        <sz val="12.0"/>
      </rPr>
      <t>60</t>
    </r>
    <r>
      <rPr>
        <rFont val="標楷體"/>
        <color theme="1"/>
        <sz val="12.0"/>
      </rPr>
      <t xml:space="preserve">
45</t>
    </r>
  </si>
  <si>
    <r>
      <rPr>
        <rFont val="標楷體"/>
        <strike/>
        <color theme="1"/>
        <sz val="12.0"/>
      </rPr>
      <t>60</t>
    </r>
    <r>
      <rPr>
        <rFont val="標楷體"/>
        <color theme="1"/>
        <sz val="12.0"/>
      </rPr>
      <t xml:space="preserve">
45</t>
    </r>
  </si>
  <si>
    <t>大學實踐社會責任推動成效</t>
  </si>
  <si>
    <r>
      <rPr>
        <rFont val="標楷體"/>
        <strike/>
        <color theme="1"/>
        <sz val="12.0"/>
      </rPr>
      <t>60</t>
    </r>
    <r>
      <rPr>
        <rFont val="標楷體"/>
        <color theme="1"/>
        <sz val="12.0"/>
      </rPr>
      <t xml:space="preserve">
50</t>
    </r>
  </si>
  <si>
    <r>
      <rPr>
        <rFont val="標楷體"/>
        <strike/>
        <color theme="1"/>
        <sz val="12.0"/>
      </rPr>
      <t>60</t>
    </r>
    <r>
      <rPr>
        <rFont val="標楷體"/>
        <color theme="1"/>
        <sz val="12.0"/>
      </rPr>
      <t xml:space="preserve">
50</t>
    </r>
  </si>
  <si>
    <t>目前跨領域學習以學分學程為主且有意願修讀雙主修及輔系的學生較少，故調降目標值。</t>
  </si>
  <si>
    <t>校基庫
表4-6</t>
  </si>
  <si>
    <t>參與SDGs、USR相關服務與實踐課程數
110-111現況值：USR2計畫+融入服務學習內涵課程
112年：2計畫+共教課程+融入服務學習內涵課程</t>
  </si>
  <si>
    <r>
      <rPr>
        <rFont val="DFKai-SB"/>
        <color theme="1"/>
        <sz val="12.0"/>
      </rPr>
      <t>教務處</t>
    </r>
    <r>
      <rPr>
        <rFont val="標楷體"/>
        <color rgb="FFFF0000"/>
        <sz val="12.0"/>
      </rPr>
      <t>課註組</t>
    </r>
  </si>
  <si>
    <t>門</t>
  </si>
  <si>
    <t>學務處-20
USR-69
合計:89</t>
  </si>
  <si>
    <t>學務處-24
USR-55
合計:79</t>
  </si>
  <si>
    <t>共教中心-17
學務處-29
USR-28
合計:74</t>
  </si>
  <si>
    <t>共教中心-11 (112-2SDL4門、113-1SDL7門)
學務處-26門
USR-23
合計:60</t>
  </si>
  <si>
    <t>1-2</t>
  </si>
  <si>
    <r>
      <rPr>
        <rFont val="DFKai-SB"/>
        <color theme="1"/>
        <sz val="20.0"/>
      </rPr>
      <t xml:space="preserve">
學務處-實踐課程</t>
    </r>
    <r>
      <rPr>
        <rFont val="標楷體"/>
        <color rgb="FFFF0000"/>
        <sz val="20.0"/>
      </rPr>
      <t>16</t>
    </r>
    <r>
      <rPr>
        <rFont val="標楷體"/>
        <color theme="1"/>
        <sz val="20.0"/>
      </rPr>
      <t>門(113-2:8門             114-1:8門)
共教中心-</t>
    </r>
    <r>
      <rPr>
        <rFont val="標楷體"/>
        <color rgb="FFFF0000"/>
        <sz val="20.0"/>
      </rPr>
      <t>6</t>
    </r>
    <r>
      <rPr>
        <rFont val="標楷體"/>
        <color theme="1"/>
        <sz val="20.0"/>
      </rPr>
      <t>(113-2SDL3門、114-1SDL3門)
USR-</t>
    </r>
    <r>
      <rPr>
        <rFont val="標楷體"/>
        <color rgb="FFFF0000"/>
        <sz val="20.0"/>
      </rPr>
      <t>57</t>
    </r>
    <r>
      <rPr>
        <rFont val="標楷體"/>
        <color theme="1"/>
        <sz val="20.0"/>
      </rPr>
      <t xml:space="preserve">(113-2 環生16+醫健10、114-1 環生18+醫健13)
</t>
    </r>
    <r>
      <rPr>
        <rFont val="標楷體"/>
        <color rgb="FFFF0000"/>
        <sz val="20.0"/>
      </rPr>
      <t>共79門</t>
    </r>
    <r>
      <rPr>
        <rFont val="標楷體"/>
        <color theme="1"/>
        <sz val="20.0"/>
      </rPr>
      <t xml:space="preserve">
達成率92.94%</t>
    </r>
  </si>
  <si>
    <t>(男):10
(女):27
(教育部提供)</t>
  </si>
  <si>
    <r>
      <rPr>
        <rFont val="DFKai-SB"/>
        <color theme="1"/>
        <sz val="12.0"/>
      </rPr>
      <t>(男):</t>
    </r>
    <r>
      <rPr>
        <rFont val="標楷體"/>
        <color rgb="FFFF0000"/>
        <sz val="12.0"/>
      </rPr>
      <t>9</t>
    </r>
    <r>
      <rPr>
        <rFont val="標楷體"/>
        <color theme="1"/>
        <sz val="12.0"/>
      </rPr>
      <t xml:space="preserve">
(女):</t>
    </r>
    <r>
      <rPr>
        <rFont val="標楷體"/>
        <color rgb="FFFF0000"/>
        <sz val="12.0"/>
      </rPr>
      <t>23</t>
    </r>
    <r>
      <rPr>
        <rFont val="標楷體"/>
        <color theme="1"/>
        <sz val="12.0"/>
      </rPr>
      <t xml:space="preserve">
32</t>
    </r>
  </si>
  <si>
    <t>(男)9
(女)15
(教育部提供)
24</t>
  </si>
  <si>
    <t>(112-1)
(男)10
(女)12
(教育部提供)
22</t>
  </si>
  <si>
    <t>學務處-25
USR-20
共教-
合計:80</t>
  </si>
  <si>
    <t>(112-2)
(男)5
(女)9
(教育部提供)
14</t>
  </si>
  <si>
    <t>(113-1)
(男)4
(女)8
(教育部提供)
12</t>
  </si>
  <si>
    <t>(113-2)
(男)0
(女)1
(教育部提供)
達成率12.5%</t>
  </si>
  <si>
    <r>
      <rPr>
        <rFont val="DFKai-SB"/>
        <color theme="1"/>
        <sz val="12.0"/>
      </rPr>
      <t xml:space="preserve">學務處-26
USR-25
共教-7
合計:58
</t>
    </r>
    <r>
      <rPr>
        <rFont val="標楷體"/>
        <b/>
        <color theme="1"/>
        <sz val="14.0"/>
      </rPr>
      <t>原85→80</t>
    </r>
  </si>
  <si>
    <t>(114-1)
(男)1
(女)2
(教育部提供)
合計3，達成率37.5%</t>
  </si>
  <si>
    <r>
      <rPr>
        <rFont val="DFKai-SB"/>
        <color theme="1"/>
        <sz val="12.0"/>
      </rPr>
      <t xml:space="preserve">學務處-27
USR-30
</t>
    </r>
    <r>
      <rPr>
        <rFont val="標楷體"/>
        <b/>
        <color rgb="FFFF0000"/>
        <sz val="12.0"/>
      </rPr>
      <t>共教-8</t>
    </r>
    <r>
      <rPr>
        <rFont val="標楷體"/>
        <color theme="1"/>
        <sz val="12.0"/>
      </rPr>
      <t xml:space="preserve">
合計:65
原90→85</t>
    </r>
  </si>
  <si>
    <t>1.因輔系應修課程較繁重、跨系修課恐衝堂，且輔系無學位，導致修讀意願不高。
2.未來將於每學期之跨域學習說明會，加強宣導，讓學生了解輔系之益處，以提升學生修讀意願。</t>
  </si>
  <si>
    <r>
      <rPr>
        <rFont val="DFKai-SB"/>
        <color theme="1"/>
        <sz val="12.0"/>
      </rPr>
      <t xml:space="preserve">學務處-28
USR-35
</t>
    </r>
    <r>
      <rPr>
        <rFont val="標楷體"/>
        <b/>
        <color rgb="FFFF0000"/>
        <sz val="12.0"/>
      </rPr>
      <t>共教-9</t>
    </r>
    <r>
      <rPr>
        <rFont val="標楷體"/>
        <color theme="1"/>
        <sz val="12.0"/>
      </rPr>
      <t xml:space="preserve">
合計:72
原95→90</t>
    </r>
  </si>
  <si>
    <r>
      <rPr>
        <rFont val="DFKai-SB"/>
        <color theme="1"/>
        <sz val="12.0"/>
      </rPr>
      <t xml:space="preserve">學務處-29
USR-40
</t>
    </r>
    <r>
      <rPr>
        <rFont val="標楷體"/>
        <b/>
        <color rgb="FFFF0000"/>
        <sz val="12.0"/>
      </rPr>
      <t>共教-10</t>
    </r>
    <r>
      <rPr>
        <rFont val="標楷體"/>
        <color theme="1"/>
        <sz val="12.0"/>
      </rPr>
      <t xml:space="preserve">
合計:79
原100→95</t>
    </r>
  </si>
  <si>
    <r>
      <rPr>
        <rFont val="標楷體"/>
        <strike/>
        <color theme="1"/>
        <sz val="12.0"/>
      </rPr>
      <t>20</t>
    </r>
    <r>
      <rPr>
        <rFont val="標楷體"/>
        <color theme="1"/>
        <sz val="12.0"/>
      </rPr>
      <t xml:space="preserve">
8</t>
    </r>
  </si>
  <si>
    <r>
      <rPr>
        <rFont val="標楷體"/>
        <strike/>
        <color theme="1"/>
        <sz val="12.0"/>
      </rPr>
      <t>20</t>
    </r>
    <r>
      <rPr>
        <rFont val="標楷體"/>
        <color theme="1"/>
        <sz val="12.0"/>
      </rPr>
      <t xml:space="preserve">
8</t>
    </r>
  </si>
  <si>
    <t>110-111
USR計畫-護理
USR計畫-環生
學務處服學中心
112~
USR計畫-環生
USR計畫-醫健
USR計畫-護理(至4月)
學務處服學中心
共同教育中心</t>
  </si>
  <si>
    <r>
      <rPr>
        <rFont val="標楷體"/>
        <b val="0"/>
        <strike/>
        <color theme="1"/>
        <sz val="12.0"/>
      </rPr>
      <t>20</t>
    </r>
    <r>
      <rPr>
        <rFont val="標楷體"/>
        <b val="0"/>
        <color theme="1"/>
        <sz val="12.0"/>
      </rPr>
      <t xml:space="preserve">
10</t>
    </r>
  </si>
  <si>
    <r>
      <rPr>
        <rFont val="標楷體"/>
        <strike/>
        <color theme="1"/>
        <sz val="12.0"/>
      </rPr>
      <t>20</t>
    </r>
    <r>
      <rPr>
        <rFont val="標楷體"/>
        <color theme="1"/>
        <sz val="12.0"/>
      </rPr>
      <t xml:space="preserve">
10</t>
    </r>
  </si>
  <si>
    <r>
      <rPr>
        <rFont val="標楷體"/>
        <strike/>
        <color theme="1"/>
        <sz val="12.0"/>
      </rPr>
      <t>20</t>
    </r>
    <r>
      <rPr>
        <rFont val="標楷體"/>
        <color theme="1"/>
        <sz val="12.0"/>
      </rPr>
      <t xml:space="preserve">
12</t>
    </r>
  </si>
  <si>
    <t>學務處
共教中心
USR辦公室</t>
  </si>
  <si>
    <r>
      <rPr>
        <rFont val="標楷體"/>
        <strike/>
        <color theme="1"/>
        <sz val="12.0"/>
      </rPr>
      <t>20</t>
    </r>
    <r>
      <rPr>
        <rFont val="標楷體"/>
        <color theme="1"/>
        <sz val="12.0"/>
      </rPr>
      <t xml:space="preserve">
12</t>
    </r>
  </si>
  <si>
    <r>
      <rPr>
        <rFont val="DFKai-SB"/>
        <color theme="1"/>
        <sz val="12.0"/>
      </rPr>
      <t>教務處</t>
    </r>
    <r>
      <rPr>
        <rFont val="標楷體"/>
        <color rgb="FFFF0000"/>
        <sz val="12.0"/>
      </rPr>
      <t>課註組</t>
    </r>
  </si>
  <si>
    <t>1-3</t>
  </si>
  <si>
    <t>修讀跨域學習課程學生人次-學分學程</t>
  </si>
  <si>
    <t>參與SDGs、USR相關師生社群社團參與人次
（教務-專業成長社群、研發-研發社群、學務-學生社團）</t>
  </si>
  <si>
    <t>教務處-無
學務處-708人次
研發處-120人次
合計-828人次</t>
  </si>
  <si>
    <t>教務處-無
學務處-772人次
研發處-128人次
合計-900人次</t>
  </si>
  <si>
    <t>(男):394
(女):1077
(教育部提供)</t>
  </si>
  <si>
    <t>教務處-無
學務處-1052人次
研發處-137人次
合計-1189人次</t>
  </si>
  <si>
    <r>
      <rPr>
        <rFont val="DFKai-SB"/>
        <color theme="1"/>
        <sz val="12.0"/>
      </rPr>
      <t>(男):</t>
    </r>
    <r>
      <rPr>
        <rFont val="標楷體"/>
        <color rgb="FFFF0000"/>
        <sz val="12.0"/>
      </rPr>
      <t>362</t>
    </r>
    <r>
      <rPr>
        <rFont val="標楷體"/>
        <color theme="1"/>
        <sz val="12.0"/>
      </rPr>
      <t xml:space="preserve">
(女):</t>
    </r>
    <r>
      <rPr>
        <rFont val="標楷體"/>
        <color rgb="FFFF0000"/>
        <sz val="12.0"/>
      </rPr>
      <t>810</t>
    </r>
    <r>
      <rPr>
        <rFont val="標楷體"/>
        <color theme="1"/>
        <sz val="12.0"/>
      </rPr>
      <t xml:space="preserve">
1,172</t>
    </r>
  </si>
  <si>
    <t>教務處-無
學務處-1528人次
研發處-150人次
合計-1678人次</t>
  </si>
  <si>
    <t>(男)477
(女)884
(教育部提供)
1,361</t>
  </si>
  <si>
    <t>(112-1)
(男)177
(女)256
(教育部提供)
433</t>
  </si>
  <si>
    <t>(112-2)
(男)233
(女)344
(教育部提供)
577</t>
  </si>
  <si>
    <t>(113-1)
(男)252
(女)403
(教育部提供)
655</t>
  </si>
  <si>
    <t>(113-2)
(男)215
(女)355
(教育部提供)
570</t>
  </si>
  <si>
    <t>(114-1)
(男)152
(女)186
(教育部提供)
合計338，達成率84.5%</t>
  </si>
  <si>
    <r>
      <rPr>
        <rFont val="DFKai-SB"/>
        <color theme="1"/>
        <sz val="20.0"/>
      </rPr>
      <t>教務處-無
研發處-200人次
學務處-609人次              113-2：268                 114-1：341
共</t>
    </r>
    <r>
      <rPr>
        <rFont val="標楷體"/>
        <color rgb="FFFF0000"/>
        <sz val="20.0"/>
      </rPr>
      <t>809</t>
    </r>
    <r>
      <rPr>
        <rFont val="標楷體"/>
        <color theme="1"/>
        <sz val="20.0"/>
      </rPr>
      <t>人次
達成率85.15%</t>
    </r>
  </si>
  <si>
    <t>教務處-
學務處-
研發處-130人次
合計-910</t>
  </si>
  <si>
    <t>教務處-
學務處-
研發處-140人次
合計-930</t>
  </si>
  <si>
    <r>
      <rPr>
        <rFont val="DFKai-SB"/>
        <color theme="1"/>
        <sz val="12.0"/>
      </rPr>
      <t>教務處</t>
    </r>
    <r>
      <rPr>
        <rFont val="標楷體"/>
        <color rgb="FFFF0000"/>
        <sz val="12.0"/>
      </rPr>
      <t>課註組</t>
    </r>
  </si>
  <si>
    <t>教務處-
學務處-
研發處-150人次
合計-950</t>
  </si>
  <si>
    <t>教務處-
學務處-
研發處-160人次
合計-980</t>
  </si>
  <si>
    <t>教務處-
學務處-
研發處-170人次
合計-1000</t>
  </si>
  <si>
    <t>教務處
學務處
研發處</t>
  </si>
  <si>
    <t>教務處-專業成長社群
研發處-研發社群
學務處-學生社團</t>
  </si>
  <si>
    <t>1-4</t>
  </si>
  <si>
    <t>修讀跨域學習課程學生人次-其他</t>
  </si>
  <si>
    <r>
      <rPr>
        <rFont val="標楷體"/>
        <b/>
        <color rgb="FFFF0000"/>
        <sz val="12.0"/>
      </rPr>
      <t>4,416</t>
    </r>
    <r>
      <rPr>
        <rFont val="標楷體"/>
        <b/>
        <color theme="1"/>
        <sz val="12.0"/>
      </rPr>
      <t xml:space="preserve">
-
(男):</t>
    </r>
    <r>
      <rPr>
        <rFont val="標楷體"/>
        <b/>
        <color rgb="FFFF0000"/>
        <sz val="12.0"/>
      </rPr>
      <t>1,337</t>
    </r>
    <r>
      <rPr>
        <rFont val="標楷體"/>
        <b/>
        <color theme="1"/>
        <sz val="12.0"/>
      </rPr>
      <t xml:space="preserve">
(女):</t>
    </r>
    <r>
      <rPr>
        <rFont val="標楷體"/>
        <b/>
        <color rgb="FFFF0000"/>
        <sz val="12.0"/>
      </rPr>
      <t>3,079</t>
    </r>
  </si>
  <si>
    <r>
      <rPr>
        <rFont val="DFKai-SB"/>
        <color theme="1"/>
        <sz val="12.0"/>
      </rPr>
      <t>(男):</t>
    </r>
    <r>
      <rPr>
        <rFont val="標楷體"/>
        <color rgb="FFFF0000"/>
        <sz val="12.0"/>
      </rPr>
      <t>979</t>
    </r>
    <r>
      <rPr>
        <rFont val="標楷體"/>
        <color theme="1"/>
        <sz val="12.0"/>
      </rPr>
      <t xml:space="preserve">
(女):</t>
    </r>
    <r>
      <rPr>
        <rFont val="標楷體"/>
        <color rgb="FFFF0000"/>
        <sz val="12.0"/>
      </rPr>
      <t>2,735</t>
    </r>
    <r>
      <rPr>
        <rFont val="標楷體"/>
        <color theme="1"/>
        <sz val="12.0"/>
      </rPr>
      <t xml:space="preserve">
3714</t>
    </r>
  </si>
  <si>
    <t>(男):887
(女):2,622
3509</t>
  </si>
  <si>
    <t>(112-1)
(男)1776
(女)7103
8879</t>
  </si>
  <si>
    <t>學生創新創業課程推動成效</t>
  </si>
  <si>
    <t>(112-2)
(男)1609
(女)5879
7488</t>
  </si>
  <si>
    <t>參與三創競賽人次</t>
  </si>
  <si>
    <t>(113-1)
(男)2028
(女)5796
7824</t>
  </si>
  <si>
    <t>(113-2)
(男)1261
(女)2297
3558</t>
  </si>
  <si>
    <t>(114-1)
(男)1159
(女)1817
合計2976，達成率99.2%
學校自填</t>
  </si>
  <si>
    <t>195
(已含環生)</t>
  </si>
  <si>
    <r>
      <rPr>
        <rFont val="標楷體"/>
        <strike/>
        <color theme="1"/>
        <sz val="12.0"/>
      </rPr>
      <t>8900</t>
    </r>
    <r>
      <rPr>
        <rFont val="標楷體"/>
        <color theme="1"/>
        <sz val="12.0"/>
      </rPr>
      <t xml:space="preserve">
3000</t>
    </r>
  </si>
  <si>
    <r>
      <rPr>
        <rFont val="標楷體"/>
        <strike/>
        <color theme="1"/>
        <sz val="12.0"/>
      </rPr>
      <t>8900</t>
    </r>
    <r>
      <rPr>
        <rFont val="標楷體"/>
        <color theme="1"/>
        <sz val="12.0"/>
      </rPr>
      <t xml:space="preserve">
3000</t>
    </r>
  </si>
  <si>
    <r>
      <rPr>
        <rFont val="標楷體"/>
        <strike/>
        <color theme="1"/>
        <sz val="12.0"/>
      </rPr>
      <t>9000</t>
    </r>
    <r>
      <rPr>
        <rFont val="標楷體"/>
        <color theme="1"/>
        <sz val="12.0"/>
      </rPr>
      <t xml:space="preserve">
3200</t>
    </r>
  </si>
  <si>
    <t>1.向研發處申請補助審查在案資料學生參與競賽補助
2.輔英校園創業競賽
3.創意影片製作競賽
4.環生學院辦理競賽
5.醫健學院辦理競賽
6.人管學院辦理競賽
7.U-START創新創業競賽</t>
  </si>
  <si>
    <r>
      <rPr>
        <rFont val="標楷體"/>
        <strike/>
        <color theme="1"/>
        <sz val="12.0"/>
      </rPr>
      <t>9000</t>
    </r>
    <r>
      <rPr>
        <rFont val="標楷體"/>
        <color theme="1"/>
        <sz val="12.0"/>
      </rPr>
      <t xml:space="preserve">
3200</t>
    </r>
  </si>
  <si>
    <t>1.向研發處申請補助審查在案資料
2.環生、醫健、人管學院提供數據</t>
  </si>
  <si>
    <r>
      <rPr>
        <rFont val="標楷體"/>
        <strike/>
        <color theme="1"/>
        <sz val="12.0"/>
      </rPr>
      <t>9050</t>
    </r>
    <r>
      <rPr>
        <rFont val="標楷體"/>
        <color theme="1"/>
        <sz val="12.0"/>
      </rPr>
      <t xml:space="preserve">
3500</t>
    </r>
  </si>
  <si>
    <r>
      <rPr>
        <rFont val="標楷體"/>
        <strike/>
        <color theme="1"/>
        <sz val="12.0"/>
      </rPr>
      <t>9050</t>
    </r>
    <r>
      <rPr>
        <rFont val="標楷體"/>
        <color theme="1"/>
        <sz val="12.0"/>
      </rPr>
      <t xml:space="preserve">
3500</t>
    </r>
  </si>
  <si>
    <t>113-2學期因部分課程回復共教中心開課，現況值降為3593人，調降目標值。</t>
  </si>
  <si>
    <t>學校產學合作概況</t>
  </si>
  <si>
    <r>
      <rPr>
        <rFont val="DFKai-SB"/>
        <color theme="1"/>
        <sz val="12.0"/>
      </rPr>
      <t>教務處</t>
    </r>
    <r>
      <rPr>
        <rFont val="標楷體"/>
        <color rgb="FFFF0000"/>
        <sz val="12.0"/>
      </rPr>
      <t>課註組</t>
    </r>
  </si>
  <si>
    <t>產學合作策略聯盟家數</t>
  </si>
  <si>
    <t>家數</t>
  </si>
  <si>
    <t>協助學生跨域學習成效提升之推動策略描述</t>
  </si>
  <si>
    <t>(300字元)
本校歷來積勵學生培養第二專長與跨領域學習，每學期辦理各項說明會協助學生，亦認列部份選修學分為畢業學分，鬆綁跨領域學習限制，促進學生培養第二專長。</t>
  </si>
  <si>
    <t>因應產業未來跨域人才需要，規劃專業多元學習，培養跨領域專長的課程學習方案，引導學生有意義性進行跨域學習，整合跨領域課程排課時段，透過排課減少衝堂或選不到課程問題，學生能有效掌握修習，提升學習意願。培養多元技能，協助學生適性化/跨域化發展。</t>
  </si>
  <si>
    <t>因應產業未來跨域人才需要，規劃專業多元學習，培養跨領域專長的課程學習方案，引導學生有意義性進行跨域學習，整合跨領域課程排課時段，透過排課減少衝堂或選不到課程問題，學生能有效掌握修習，提升學習意願。培養多元技能，協助學生適性化/跨域化發展</t>
  </si>
  <si>
    <t>(112-1)
因應產業未來跨域人才需要，規劃專業多元學習，培養跨領域專長的課程學習方案，引導學生有意義性進行跨域學習，整合跨領域課程排課時段，透過排課減少衝堂或選不到課程問題，學生能有效掌握修習，提升學習意願。培養多元技能，協助學生適性化/跨域化發展</t>
  </si>
  <si>
    <t xml:space="preserve">(112-2)
因應產業未來跨域人才需要，規劃專業多元學習，培養跨領域專長的課程學習方案，引導學生有意義性進行跨域學習，整合跨領域課程排課時段，透過排課減少衝堂或選不到課程問題，學生能有效掌握修習，提升學習意願。培養多元技能，協助學生適性化/跨域化發展
</t>
  </si>
  <si>
    <t>(113-1)
因應產業未來跨域人才需要，規劃專業多元學習，培養跨領域專長的課程學習方案，引導學生有意義性進行跨域學習，整合跨領域課程排課時段，透過排課減少衝堂或選不到課程問題，學生能有效掌握修習，提升學習意願。培養多元技能，協助學生適性化/跨域化發展</t>
  </si>
  <si>
    <t>(113-2)
因應產業未來跨域人才需要，規劃專業多元學習，培養跨領域專長的課程學習方案，引導學生有意義性進行跨域學習，整合跨領域課程排課時段，透過排課減少衝堂或選不到課程問題，學生能有效掌握修習，提升學習意願。培養多元技能，協助學生適性化/跨域化發展。</t>
  </si>
  <si>
    <t>策略聯盟13家+承接校外計畫件數108</t>
  </si>
  <si>
    <t>(114-1)
因應產業未來跨域人才需要，規劃專業多元學習，培養跨領域專長的課程學習方案，引導學生有意義性進行跨域學習，整合跨領域課程排課時段，透過排課減少衝堂或選不到課程問題，學生能有效掌握修習，提升學習意願。培養多元技能，協助學生適性化/跨域化發展。</t>
  </si>
  <si>
    <t xml:space="preserve">因應產業未來跨域人才需要，規劃專業多元學習，培養跨領域專長的課程學習方案，引導學生有意義性進行跨域學習，整合跨領域課程排課時段，透過排課減少衝堂或選不到課程問題，學生能有效掌握修習，提升學習意願。培養多元技能，協助學生適性化/跨域化發展
</t>
  </si>
  <si>
    <r>
      <rPr>
        <rFont val="DFKai-SB"/>
        <color theme="1"/>
        <sz val="12.0"/>
      </rPr>
      <t>教務處</t>
    </r>
    <r>
      <rPr>
        <rFont val="標楷體"/>
        <color rgb="FFFF0000"/>
        <sz val="12.0"/>
      </rPr>
      <t>課註組</t>
    </r>
  </si>
  <si>
    <t>雙方簽署策略聯盟合作備忘錄</t>
  </si>
  <si>
    <t>789(教育部提供)</t>
  </si>
  <si>
    <t>750(教育部提供)</t>
  </si>
  <si>
    <r>
      <rPr>
        <rFont val="標楷體"/>
        <color rgb="FFFF0000"/>
        <sz val="20.0"/>
      </rPr>
      <t>108</t>
    </r>
    <r>
      <rPr>
        <rFont val="標楷體"/>
        <color theme="1"/>
        <sz val="20.0"/>
      </rPr>
      <t xml:space="preserve">
達成率98.18%</t>
    </r>
  </si>
  <si>
    <t>(112-1)
617(教育部提供)</t>
  </si>
  <si>
    <t>(112-2)
618(教育部提供)</t>
  </si>
  <si>
    <t>(113-1)
667(教育部提供)</t>
  </si>
  <si>
    <t>(113-2)
642(教育部提供)</t>
  </si>
  <si>
    <t>(114-1)
581(教育部提供)
達成率96.83%</t>
  </si>
  <si>
    <t>(114-2)
538(教育部提供)
達成率89.66%</t>
  </si>
  <si>
    <t>基庫表1-8(11410填報)</t>
  </si>
  <si>
    <t>"校基庫表1-8(11404填報)"</t>
  </si>
  <si>
    <t>經濟或文化不利學生獲得輔導或協助之提升成效</t>
  </si>
  <si>
    <t>校基庫
表4-2</t>
  </si>
  <si>
    <r>
      <rPr>
        <rFont val="DFKai-SB"/>
        <color theme="1"/>
        <sz val="12.0"/>
      </rPr>
      <t>教務處</t>
    </r>
    <r>
      <rPr>
        <rFont val="標楷體"/>
        <color rgb="FFFF0000"/>
        <sz val="12.0"/>
      </rPr>
      <t>課註組</t>
    </r>
  </si>
  <si>
    <t>109學年度
49.23%</t>
  </si>
  <si>
    <t>110學年度
47.98%</t>
  </si>
  <si>
    <t>111學年度
47.84%</t>
  </si>
  <si>
    <t>STEM領域定義依本部統計處「大專校院學科標準分類」，係指「05自然科學、數學及統計領域」、「06資訊通訊科技領域」及「07工程、製造及營建領域」。</t>
  </si>
  <si>
    <t>112學年度
48.30%</t>
  </si>
  <si>
    <r>
      <rPr>
        <rFont val="標楷體"/>
        <color rgb="FFFF0000"/>
        <sz val="20.0"/>
      </rPr>
      <t>48.30%</t>
    </r>
    <r>
      <rPr>
        <rFont val="標楷體"/>
        <color theme="1"/>
        <sz val="20.0"/>
      </rPr>
      <t xml:space="preserve">                113學年度 ( 經濟不利且班前50%之人次÷經濟不利總人次)×100%  
達成率99.38%        </t>
    </r>
  </si>
  <si>
    <t>STEM系科：保營、環工、職安、化材、生科、資科管</t>
  </si>
  <si>
    <t>STEM領域系科所學生人數-女</t>
  </si>
  <si>
    <t>549(教育部提供)</t>
  </si>
  <si>
    <t>490(教育部提供)</t>
  </si>
  <si>
    <t>(112-1)
416(教育部提供)</t>
  </si>
  <si>
    <t>(112-2)
420(教育部提供)</t>
  </si>
  <si>
    <t>(113-1)
464(教育部提供)</t>
  </si>
  <si>
    <t>(113-2)
540(教育部提供)</t>
  </si>
  <si>
    <t>(114-1)
507(教育部提供)</t>
  </si>
  <si>
    <t>(114-2)
471(教育部提供)</t>
  </si>
  <si>
    <t>依據班排系統篩選經濟或文化不利學生過百分之50比率</t>
  </si>
  <si>
    <t>當學年經濟或文化不利學生班排前百分之50者占全校經濟或文化不利學生之比率</t>
  </si>
  <si>
    <t>學務處</t>
  </si>
  <si>
    <t>2,582(學校自填)</t>
  </si>
  <si>
    <t>7,063(教育部提供)</t>
  </si>
  <si>
    <t>經濟或文化不利學生畢業就業升學率</t>
  </si>
  <si>
    <t>(112-1)
4512(教育部提供)</t>
  </si>
  <si>
    <t>(112-2)
5484(教育部提供)</t>
  </si>
  <si>
    <t>(113-1)
5293(教育部提供)</t>
  </si>
  <si>
    <t>(113-2)
4455(教育部提供)</t>
  </si>
  <si>
    <t>持續強化職涯輔導，建立長期畢業生雇用滿意度調查追蹤機制，並回饋校延室及學系，運用與卓參。</t>
  </si>
  <si>
    <t>(114-1)
3691(教育部提供)
達成率83.88%</t>
  </si>
  <si>
    <t>91.61%
(108學年度畢業生)</t>
  </si>
  <si>
    <t>(114-2)
4024(教育部提供)
達成率91.04%</t>
  </si>
  <si>
    <t>92.44%
(109學年度畢業生)</t>
  </si>
  <si>
    <t>92.54%
(110學年度畢業生)</t>
  </si>
  <si>
    <t>94.51%
(111學年度畢業生)</t>
  </si>
  <si>
    <r>
      <rPr>
        <rFont val="標楷體"/>
        <color rgb="FFFF0000"/>
        <sz val="20.0"/>
      </rPr>
      <t>95.10</t>
    </r>
    <r>
      <rPr>
        <rFont val="標楷體"/>
        <color theme="1"/>
        <sz val="20.0"/>
      </rPr>
      <t xml:space="preserve">%
112學年度( 升學人數＋就業人數+留學人數)÷(畢業人數-服兵役人數)          </t>
    </r>
  </si>
  <si>
    <r>
      <rPr>
        <rFont val="標楷體"/>
        <strike/>
        <color theme="1"/>
        <sz val="12.0"/>
      </rPr>
      <t>5200</t>
    </r>
    <r>
      <rPr>
        <rFont val="標楷體"/>
        <color theme="1"/>
        <sz val="12.0"/>
      </rPr>
      <t xml:space="preserve">
4400</t>
    </r>
  </si>
  <si>
    <r>
      <rPr>
        <rFont val="標楷體"/>
        <strike/>
        <color theme="1"/>
        <sz val="12.0"/>
      </rPr>
      <t>5200</t>
    </r>
    <r>
      <rPr>
        <rFont val="標楷體"/>
        <color theme="1"/>
        <sz val="12.0"/>
      </rPr>
      <t xml:space="preserve">
4400</t>
    </r>
  </si>
  <si>
    <r>
      <rPr>
        <rFont val="標楷體"/>
        <strike/>
        <color theme="1"/>
        <sz val="12.0"/>
      </rPr>
      <t>5200</t>
    </r>
    <r>
      <rPr>
        <rFont val="標楷體"/>
        <color theme="1"/>
        <sz val="12.0"/>
      </rPr>
      <t xml:space="preserve">
4420</t>
    </r>
  </si>
  <si>
    <r>
      <rPr>
        <rFont val="標楷體"/>
        <strike/>
        <color theme="1"/>
        <sz val="12.0"/>
      </rPr>
      <t>5200</t>
    </r>
    <r>
      <rPr>
        <rFont val="標楷體"/>
        <color theme="1"/>
        <sz val="12.0"/>
      </rPr>
      <t xml:space="preserve">
4420</t>
    </r>
  </si>
  <si>
    <r>
      <rPr>
        <rFont val="標楷體"/>
        <strike/>
        <color theme="1"/>
        <sz val="12.0"/>
      </rPr>
      <t>5200</t>
    </r>
    <r>
      <rPr>
        <rFont val="標楷體"/>
        <color theme="1"/>
        <sz val="12.0"/>
      </rPr>
      <t xml:space="preserve">
4440</t>
    </r>
  </si>
  <si>
    <t>依據學年度畢業生第二次流向調查結果</t>
  </si>
  <si>
    <r>
      <rPr>
        <rFont val="標楷體"/>
        <strike/>
        <color theme="1"/>
        <sz val="12.0"/>
      </rPr>
      <t>5200</t>
    </r>
    <r>
      <rPr>
        <rFont val="標楷體"/>
        <color theme="1"/>
        <sz val="12.0"/>
      </rPr>
      <t xml:space="preserve">
4440</t>
    </r>
  </si>
  <si>
    <t>依據學年度畢業生第二次流向調查成果填報。</t>
  </si>
  <si>
    <r>
      <rPr>
        <rFont val="DFKai-SB"/>
        <color theme="1"/>
        <sz val="12.0"/>
      </rPr>
      <t>教務處</t>
    </r>
    <r>
      <rPr>
        <rFont val="標楷體"/>
        <color rgb="FFFF0000"/>
        <sz val="12.0"/>
      </rPr>
      <t>課註組</t>
    </r>
  </si>
  <si>
    <t>校基庫自111(1)學期開始蒐集。</t>
  </si>
  <si>
    <t>經濟或文化不利學生(含應屆畢業生)已獲得專業證照之人次(113年新增)</t>
  </si>
  <si>
    <t>持續推動畢業生就學期間獲得專業證照，以增加自己未來就業的實戰裝備。</t>
  </si>
  <si>
    <t>0
說明：本校暫無此數據後續將會調查</t>
  </si>
  <si>
    <t>修讀STEM領域課程學生人次-女</t>
  </si>
  <si>
    <t>0
目前尚未調查此數據</t>
  </si>
  <si>
    <t>4,277(學校自填)</t>
  </si>
  <si>
    <t>355
(112-2學期279人及113-1學期76人)</t>
  </si>
  <si>
    <t>10,626(教育部提供)</t>
  </si>
  <si>
    <t xml:space="preserve">331                  (114年度)教務處提供220人次(含附錄1學生) +本學期111人次
達成率82.75%                         </t>
  </si>
  <si>
    <t>(112-1)
4674(教育部提供)</t>
  </si>
  <si>
    <t>(112-2)
5226(教育部提供)</t>
  </si>
  <si>
    <t>(113-1)
3315(教育部提供)</t>
  </si>
  <si>
    <t>(113-2)
3125(教育部提供)</t>
  </si>
  <si>
    <t>(114-1)
3389(教育部提供)</t>
  </si>
  <si>
    <t>(114-2)
3173(教育部提供)</t>
  </si>
  <si>
    <r>
      <rPr>
        <rFont val="標楷體"/>
        <strike/>
        <color theme="1"/>
        <sz val="12.0"/>
      </rPr>
      <t>5000</t>
    </r>
    <r>
      <rPr>
        <rFont val="標楷體"/>
        <color theme="1"/>
        <sz val="12.0"/>
      </rPr>
      <t xml:space="preserve">
3000</t>
    </r>
  </si>
  <si>
    <r>
      <rPr>
        <rFont val="標楷體"/>
        <strike/>
        <color theme="1"/>
        <sz val="12.0"/>
      </rPr>
      <t>5000</t>
    </r>
    <r>
      <rPr>
        <rFont val="標楷體"/>
        <color theme="1"/>
        <sz val="12.0"/>
      </rPr>
      <t xml:space="preserve">
3000</t>
    </r>
  </si>
  <si>
    <r>
      <rPr>
        <rFont val="標楷體"/>
        <strike/>
        <color theme="1"/>
        <sz val="12.0"/>
      </rPr>
      <t>5000</t>
    </r>
    <r>
      <rPr>
        <rFont val="標楷體"/>
        <color theme="1"/>
        <sz val="12.0"/>
      </rPr>
      <t xml:space="preserve">
3020</t>
    </r>
  </si>
  <si>
    <t>各系</t>
  </si>
  <si>
    <r>
      <rPr>
        <rFont val="標楷體"/>
        <strike/>
        <color theme="1"/>
        <sz val="12.0"/>
      </rPr>
      <t>5000</t>
    </r>
    <r>
      <rPr>
        <rFont val="標楷體"/>
        <color theme="1"/>
        <sz val="12.0"/>
      </rPr>
      <t xml:space="preserve">
3020</t>
    </r>
  </si>
  <si>
    <r>
      <rPr>
        <rFont val="標楷體"/>
        <strike/>
        <color theme="1"/>
        <sz val="12.0"/>
      </rPr>
      <t>5000</t>
    </r>
    <r>
      <rPr>
        <rFont val="標楷體"/>
        <color theme="1"/>
        <sz val="12.0"/>
      </rPr>
      <t xml:space="preserve">
3050</t>
    </r>
  </si>
  <si>
    <t>於第一學期學期初與各系確認該系專業證照名稱，並於第二學期學期末收集經濟或文化不利學生在學期間及畢業當年度之專業證照累積張數。</t>
  </si>
  <si>
    <r>
      <rPr>
        <rFont val="標楷體"/>
        <strike/>
        <color theme="1"/>
        <sz val="12.0"/>
      </rPr>
      <t>5000</t>
    </r>
    <r>
      <rPr>
        <rFont val="標楷體"/>
        <color theme="1"/>
        <sz val="12.0"/>
      </rPr>
      <t xml:space="preserve">
3050</t>
    </r>
  </si>
  <si>
    <t>學務處
處本部</t>
  </si>
  <si>
    <t>3325(教育部提供)</t>
  </si>
  <si>
    <t>3463(教育部提供)</t>
  </si>
  <si>
    <t>(112-1)
3722(教育部提供)</t>
  </si>
  <si>
    <t>(112-2)
4469(教育部提供)</t>
  </si>
  <si>
    <t>(113-1)
3892(教育部提供)</t>
  </si>
  <si>
    <t>(113-2)
4508(教育部提供)</t>
  </si>
  <si>
    <t>(刪除)經濟或文化不利應屆畢業生已獲得專業證照之人次 (新增)經濟或文化不利學生(含應屆畢業生)已獲得專業證照之人次</t>
  </si>
  <si>
    <t>(114-1)
4459(教育部提供)
達成率99.08%</t>
  </si>
  <si>
    <t>(114-2)
5142(教育部提供)</t>
  </si>
  <si>
    <t>輔導原民生及推動全民原教成效</t>
  </si>
  <si>
    <t>校基庫
表4-2-11</t>
  </si>
  <si>
    <r>
      <rPr>
        <rFont val="DFKai-SB"/>
        <color theme="1"/>
        <sz val="12.0"/>
      </rPr>
      <t>教務處</t>
    </r>
    <r>
      <rPr>
        <rFont val="標楷體"/>
        <color rgb="FFFF0000"/>
        <sz val="12.0"/>
      </rPr>
      <t>課註組</t>
    </r>
  </si>
  <si>
    <t>曾修讀數位科技微學程學生數</t>
  </si>
  <si>
    <t>109(教育部提供)</t>
  </si>
  <si>
    <t>112(教育部提供)</t>
  </si>
  <si>
    <t>(112-1)
237(教育部提供)</t>
  </si>
  <si>
    <t>(112-2)
405(教育部提供)</t>
  </si>
  <si>
    <t>(113-1)
459(教育部提供)</t>
  </si>
  <si>
    <t>(113-2)
676(教育部提供)</t>
  </si>
  <si>
    <t>(114-1)
618(教育部提供)</t>
  </si>
  <si>
    <t>原住民學生畢業就業升學率</t>
  </si>
  <si>
    <t>(114-2)
657(教育部提供)</t>
  </si>
  <si>
    <t>1.透過課業輔導、實習機會、職涯規劃、就業媒合等，建立「以學習取代工讀」之輔導機制，提供是類經濟或文化不利學生得以同時兼顧課業與生活所需，促進社會階層垂直流動。
2.辦理「原住民學生就讀專科以上學校學雜費減免辦法」及「各類學雜費減免、大專校院弱勢學生助學計畫」，減輕大專校院原住民學生之就學負擔。</t>
  </si>
  <si>
    <r>
      <rPr>
        <rFont val="DFKai-SB"/>
        <color theme="1"/>
        <sz val="12.0"/>
      </rPr>
      <t>教務處</t>
    </r>
    <r>
      <rPr>
        <rFont val="標楷體"/>
        <color rgb="FFFF0000"/>
        <sz val="12.0"/>
      </rPr>
      <t>課註組</t>
    </r>
    <r>
      <rPr>
        <rFont val="標楷體"/>
        <color theme="1"/>
        <sz val="12.0"/>
      </rPr>
      <t xml:space="preserve">
</t>
    </r>
  </si>
  <si>
    <t>94.59%
(108學年度畢業生)</t>
  </si>
  <si>
    <t>90.91%
(109學年度畢業生)</t>
  </si>
  <si>
    <t>96.43%
(110學年度畢業生)</t>
  </si>
  <si>
    <t>95.00%
(111學年度畢業生)</t>
  </si>
  <si>
    <t xml:space="preserve">93.69%                  112學年度( 升學人數＋就業人數+留學人數)÷(畢業人數-服兵役人數)          </t>
  </si>
  <si>
    <t>協助學生程式設計能力提升之推動策略描述（含學校在鼓勵修讀STEM領域課程上的推動策略）</t>
  </si>
  <si>
    <t>為不同基礎者開設分級程式設計課程，打造視覺圖表、感測器程式構件教材，數位工具應用，培育大數據資料解讀與程式設計能力。建立基礎/進階/應用三階段課程，以培育學生具有數位運用與程式設計能力，打造兼具溝通與創造的新世代能力。從主題發想/實務呈現/程式開發競賽模式，透過成果展現獲得學習成就，營造團隊合作學習動能。</t>
  </si>
  <si>
    <t>為不同基礎者開設分級程式設計課程，打造視覺圖表、感測器程式構件教材，數位工具應用，培育大數據資料解讀與程式設計能力。建立基礎/進階/應用三階段課程，以培育學生具有數位運用與程式設計能力，打造兼具溝通與創造的新世代能力。從主題發想/實務呈現/程式開發競賽模式，透過成果展現獲得學習成就，營造團隊合作學習動能</t>
  </si>
  <si>
    <t>(112-2)
為不同基礎者開設分級課程，打造視覺圖表、感測器程式構件教材，數位工具應用，培育大數據資料解讀與程式設計能力。建立基礎/進階/應用三階段課程，以培育學生具有數位運用與程式設計能力，打造兼具溝通與創造的新世代程式應用能力。從主題發想/實務呈現/程式開發競賽模式，透過成果展現獲得學習成就，營造團隊合作學習動能</t>
  </si>
  <si>
    <t>教育部原住民族委員會</t>
  </si>
  <si>
    <t>(113-1)
為不同基礎者開設分級課程，打造視覺圖表、感測器程式構件教材，數位工具應用，培育大數據資料解讀與程式設計能力。建立基礎/進階/應用三階段課程，以培育學生具有數位運用與程式設計能力，打造兼具溝通與創造的新世代程式應用能力。從主題發想/實務呈現/程式開發競賽模式，透過成果展現獲得學習成就，營造團隊合作學習動能</t>
  </si>
  <si>
    <t>(113-2)
為不同基礎者開設分級課程，打造視覺圖表、感測器程式構件教材，數位工具應用，培育大數據資料解讀與程式設計能力。建立基礎/進階/應用三階段課程，以培育學生具有數位運用與程式設計能力，打造兼具溝通與創造的新世代程式應用能力。從主題發想/實務呈現/程式開發競賽模式，透過成果展現獲得學習成就，營造團隊合作學習動能</t>
  </si>
  <si>
    <t>(114-1)
為不同基礎者開設分級課程，打造視覺圖表、感測器程式構件教材，數位工具應用，培育大數據資料解讀與程式設計能力。建立基礎/進階/應用三階段課程，以培育學生具有數位運用與程式設計能力，打造兼具溝通與創造的新世代程式應用能力。從主題發想/實務呈現/程式開發競賽模式，透過成果展現獲得學習成就，營造團隊合作學習動能</t>
  </si>
  <si>
    <t>1.由原資中心針對原民生實施各項輔導與生涯職涯講座，以提高原民生升學就業率。
2.依據學年度畢業生第二次流向調查結果
3.升學就業率(KPI)=(升學人數+就業人數+留學人數)÷(畢業生人數-服兵役人數)</t>
  </si>
  <si>
    <t>(114-2)
為不同基礎者開設分級課程，打造視覺圖表、感測器程式構件教材，數位工具應用，培育大數據資料解讀與程式設計能力。建立基礎/進階/應用三階段課程，以培育學生具有數位運用與程式設計能力，打造兼具溝通與創造的新世代程式應用能力。從主題發想/實務呈現/程式開發競賽模式，透過成果展現獲得學習成就，營造團隊合作學習動能。</t>
  </si>
  <si>
    <t>為不同基礎者開設分級課程，打造視覺圖表、感測器程式構件教材，數位工具應用，培育大數據資料解讀與程式設計能力。建立基礎/進階/應用三階段課程，以培育學生具有數位運用與程式設計能力，打造兼具溝通與創造的新世代程式應用能力。從主題發想/實務呈現/程式開發競賽模式，透過成果展現獲得學習成就，營造團隊合作學習動能</t>
  </si>
  <si>
    <t>學務處
原資中心</t>
  </si>
  <si>
    <t>升學就業率(KPI)=(升學人數+就業人數+留學人數)÷(畢業生人數-服兵役人數)</t>
  </si>
  <si>
    <t>111年度之調查尚未完成</t>
  </si>
  <si>
    <t>推動特色原民文化</t>
  </si>
  <si>
    <t>免</t>
  </si>
  <si>
    <t>規劃原住民多元文化教育相關課程及活動，並以大數據及雲端為主軸，透過部落學習及影像聲音紀錄並上傳至數位社群平台，促進全體國民認識與尊重原住民族。</t>
  </si>
  <si>
    <r>
      <rPr>
        <rFont val="DFKai-SB"/>
        <color theme="1"/>
        <sz val="12.0"/>
      </rPr>
      <t xml:space="preserve">506
</t>
    </r>
    <r>
      <rPr>
        <rFont val="標楷體"/>
        <color rgb="FFFF0000"/>
        <sz val="12.0"/>
      </rPr>
      <t>(*本校自辦)</t>
    </r>
  </si>
  <si>
    <t>1.規劃原住民多元文化教育相關課程及活動，並以大數據及雲端為主軸，透過部落學習及影像聲音紀錄並上傳至數位社群平台，促進全體國民認識與尊重原住民族。
2.培養數位影音及網路社群平台經營第二專長，也透過平台將歷年各項多元文化活動成果推廣，讓更多人認識原民文化以達全民原教之目的。
3.建置學習成果Youtube及Podcast平台。</t>
  </si>
  <si>
    <r>
      <rPr>
        <rFont val="DFKai-SB"/>
        <color theme="1"/>
        <sz val="12.0"/>
      </rPr>
      <t xml:space="preserve">342
</t>
    </r>
    <r>
      <rPr>
        <rFont val="標楷體"/>
        <color rgb="FFFF0000"/>
        <sz val="12.0"/>
      </rPr>
      <t>(*本校自辦)</t>
    </r>
  </si>
  <si>
    <t>(112-1)
342</t>
  </si>
  <si>
    <t>(112-2)
689</t>
  </si>
  <si>
    <t>(113-1)
623</t>
  </si>
  <si>
    <t xml:space="preserve">(113-2)
608             </t>
  </si>
  <si>
    <t>(114-1)
434
達成率74.82%</t>
  </si>
  <si>
    <t>(114-2)
619</t>
  </si>
  <si>
    <t>1.規劃原住民多元文化、全民原教之相關課程及活動，並以大數據及雲端為主軸，透過部落學習及影像聲音紀錄並上傳至數位社群平台，促進全體國民認識與尊重原住民族。
2.培養數位影音及網路社群平台經營第二專長，也透過平台將歷年各項多元文化活動成果推廣，讓更多人認識原民文化以達全民原教之目的。
3.建置學習成果Youtube及Podcast平台。</t>
  </si>
  <si>
    <r>
      <rPr>
        <rFont val="標楷體"/>
        <b/>
        <strike/>
        <color theme="1"/>
        <sz val="12.0"/>
      </rPr>
      <t>590</t>
    </r>
    <r>
      <rPr>
        <rFont val="標楷體"/>
        <b/>
        <color theme="1"/>
        <sz val="12.0"/>
      </rPr>
      <t xml:space="preserve">
580</t>
    </r>
  </si>
  <si>
    <r>
      <rPr>
        <rFont val="標楷體"/>
        <b/>
        <strike/>
        <color theme="1"/>
        <sz val="12.0"/>
      </rPr>
      <t>590</t>
    </r>
    <r>
      <rPr>
        <rFont val="標楷體"/>
        <b/>
        <color theme="1"/>
        <sz val="12.0"/>
      </rPr>
      <t xml:space="preserve">
580</t>
    </r>
  </si>
  <si>
    <r>
      <rPr>
        <rFont val="標楷體"/>
        <b/>
        <strike/>
        <color theme="1"/>
        <sz val="12.0"/>
      </rPr>
      <t>610</t>
    </r>
    <r>
      <rPr>
        <rFont val="標楷體"/>
        <b/>
        <color theme="1"/>
        <sz val="12.0"/>
      </rPr>
      <t xml:space="preserve">
590</t>
    </r>
  </si>
  <si>
    <r>
      <rPr>
        <rFont val="標楷體"/>
        <b/>
        <strike/>
        <color theme="1"/>
        <sz val="12.0"/>
      </rPr>
      <t>610</t>
    </r>
    <r>
      <rPr>
        <rFont val="標楷體"/>
        <b/>
        <color theme="1"/>
        <sz val="12.0"/>
      </rPr>
      <t xml:space="preserve">
590</t>
    </r>
  </si>
  <si>
    <r>
      <rPr>
        <rFont val="標楷體"/>
        <b/>
        <strike/>
        <color theme="1"/>
        <sz val="12.0"/>
      </rPr>
      <t>610</t>
    </r>
    <r>
      <rPr>
        <rFont val="標楷體"/>
        <b/>
        <color theme="1"/>
        <sz val="12.0"/>
      </rPr>
      <t xml:space="preserve">
600</t>
    </r>
  </si>
  <si>
    <t>(原)共教中心</t>
  </si>
  <si>
    <t>人數勿重複計算</t>
  </si>
  <si>
    <t>111年中文能力測驗為本校自辦，112年起引入第三方認證之中文測驗。</t>
  </si>
  <si>
    <t>施測人數通過率6成往上約3%</t>
  </si>
  <si>
    <r>
      <rPr>
        <rFont val="DFKai-SB"/>
        <color theme="1"/>
        <sz val="12.0"/>
      </rPr>
      <t xml:space="preserve">822
</t>
    </r>
    <r>
      <rPr>
        <rFont val="標楷體"/>
        <color rgb="FFFF0000"/>
        <sz val="12.0"/>
      </rPr>
      <t>(*本校自辦)</t>
    </r>
  </si>
  <si>
    <r>
      <rPr>
        <rFont val="DFKai-SB"/>
        <color theme="1"/>
        <sz val="12.0"/>
      </rPr>
      <t xml:space="preserve">544
</t>
    </r>
    <r>
      <rPr>
        <rFont val="標楷體"/>
        <color rgb="FFFF0000"/>
        <sz val="12.0"/>
      </rPr>
      <t>(*本校自辦)</t>
    </r>
  </si>
  <si>
    <t>(112-1)
508</t>
  </si>
  <si>
    <t>(112-2)
913</t>
  </si>
  <si>
    <t xml:space="preserve">(113-1) 
1008     </t>
  </si>
  <si>
    <t>(113-2) 
924</t>
  </si>
  <si>
    <t>(114-1)
835
達成率92.77%</t>
  </si>
  <si>
    <t>(114-2)
832
達成率92.44%</t>
  </si>
  <si>
    <t>111年中文能力測驗為本校自辦，113年起引入第三方認證之中文測驗。</t>
  </si>
  <si>
    <t>協助學生中文閱讀寫作能力提升之推動策略描述</t>
  </si>
  <si>
    <t>(300字元)
本校自109學年度起，推動中文課程主題興趣選修改革，透過第一學期期初中文檢測前測進行診斷，修課期間引導學生閱讀理解與書寫練習，增訂課外閱讀心得閱讀與文學獎寫作，培養學生擷取訊息、統整解釋的閱讀理解能力，第二學期後測，瞭解修課前後中文能力提升率，以滾動修正教學方法。程度初級者，建立閱讀理解，引導學習興趣；初級只能寫短文者，引導寫分三段式300-800字；中階者引導能完成800-1200字；高階者獎勵投文學獎項與課外讀書心得獎項，且持續鼓勵閱讀，甚至能完成專題簡報，上台口頭發表。</t>
  </si>
  <si>
    <t>本校自109學年度起，推動中文課程主題興趣選修改革，透過第一學期期初中文檢測前測進行診斷，修課期間引導學生閱讀理解與書寫練習，增訂課外閱讀心得閱讀與文學獎寫作，培養學生擷取訊息、統整解釋的閱讀理解能力，第二學期後測，瞭解修課前後中文能力提升率，以滾動修正教學方法。程度初級者，建立閱讀理解，引導學習興趣；初級只能寫短文者，引導寫分三段式300-800字；中階者引導能完成800-1200字；高階者獎勵投文學獎項與課外讀書心得獎項，且持續鼓勵閱讀，甚至能完成專題簡報，上台口頭發表。</t>
  </si>
  <si>
    <t>(113-1)
本校自109學年度起，推動中文課程主題興趣選修改革，透過第一學期期初中文檢測前測進行診斷，修課期間引導學生閱讀理解與書寫練習，增訂課外閱讀心得閱讀與文學獎寫作，培養學生擷取訊息、統整解釋的閱讀理解能力，第二學期後測，瞭解修課前後中文能力提升率，以滾動修正教學方法。程度初級者，建立閱讀理解，引導學習興趣；初級只能寫短文者，引導寫分三段式300-800字；中階者引導能完成800-1200字；高階者獎勵投文學獎項與課外讀書心得獎項，且持續鼓勵閱讀，甚至能完成專題簡報，上台口頭發表。</t>
  </si>
  <si>
    <t>(113-2)
本校自109學年度起，推動中文課程主題興趣選修改革，透過第一學期期初中文檢測前測進行診斷，修課期間引導學生閱讀理解與書寫練習，增訂課外閱讀心得閱讀與文學獎寫作，培養學生擷取訊息、統整解釋的閱讀理解能力，第二學期後測，瞭解修課前後中文能力提升率，以滾動修正教學方法。程度初級者，建立閱讀理解，引導學習興趣；初級只能寫短文者，引導寫分三段式300-800字；中階者引導能完成800-1200字；高階者獎勵投文學獎項與課外讀書心得獎項，且持續鼓勵閱讀，甚至能完成專題簡報，上台口頭發表。</t>
  </si>
  <si>
    <t>(114-1)
本校自114學年度起，將中文結合閱讀書寫與職場應用，與實務結合，並透過第一學期初中文檢測前測進行診斷，修課期間引導學生閱讀理解與書寫練習，強化課外閱讀心得、閱讀與文學獎寫作，培養學生閱讀理解能力。並於第二學期實施後測，分析修課前後中文能力提升的變化歷程，並適時修正教學目標與方法。課程學習目標在閱讀理解力提升，啟發學習興趣為導向；而在文學書寫上則分為三級，初級者引導三段式書寫法，完成300-800字短文；中階程度者則引導深入敘寫的技巧，完成800-1200字的散文；高階優異表現者則鼓勵投稿文學獎與課外讀書心得的書寫。除了強化閱讀理解外，進而結合職場中文的應用書寫，將中文的能力培養學以致用。</t>
  </si>
  <si>
    <t>(114-2)
推動本校學生中文閱讀寫作能力，為達有效提升方法，不僅進行四技一課程改革，包括課名更動、教材更新，甚至將前測、後測認定為一份作業，前測佔10％；後測佔20％，強化學生對檢測的認同，更提升學習態度，檢測通過率達有效提升。</t>
  </si>
  <si>
    <t>(300字元)
本校自109學年度起，推動中文主題課程，依科系屬性設計專業相關之主題課程，透過第一學期期初中文檢測前測進行診斷，修課期間引導學生閱讀理解與書寫練習，強化課外閱讀心得閱讀與文學獎寫作，培養學生擷取訊息、統整解釋的閱讀理解能力。並於第二學期實施後測，瞭解修課前後中文能力提升率，以滾動修正教學方法。程度初級者，建立閱讀理解，引導學習興趣；文學書寫分為三級，初級者引導三段式書寫法，完成300-800字短文；中階者引導深入敘寫，能完成800-1201字散文；高階者則鼓勵投文學獎項與課外讀書心得獎項，且持續鼓勵閱讀，進而完成專題簡報，上台口頭發表。</t>
  </si>
  <si>
    <t>(300字元)
本校自109學年度起，推動中文主題課程，依科系屬性設計專業相關之主題課程，透過第一學期期初中文檢測前測進行診斷，修課期間引導學生閱讀理解與書寫練習，強化課外閱讀心得閱讀與文學獎寫作，培養學生擷取訊息、統整解釋的閱讀理解能力。並於第二學期實施後測，瞭解修課前後中文能力提升率，以滾動修正教學方法。程度初級者，建立閱讀理解，引導學習興趣；文學書寫分為三級，初級者引導三段式書寫法，完成300-800字短文；中階者引導深入敘寫，能完成800-1202字散文；高階者則鼓勵投文學獎項與課外讀書心得獎項，且持續鼓勵閱讀，進而完成專題簡報，上台口頭發表。</t>
  </si>
  <si>
    <t>(300字元)
本校自109學年度起，推動中文主題課程，依科系屬性設計專業相關之主題課程，透過第一學期期初中文檢測前測進行診斷，修課期間引導學生閱讀理解與書寫練習，強化課外閱讀心得閱讀與文學獎寫作，培養學生擷取訊息、統整解釋的閱讀理解能力。並於第二學期實施後測，瞭解修課前後中文能力提升率，以滾動修正教學方法。程度初級者，建立閱讀理解，引導學習興趣；文學書寫分為三級，初級者引導三段式書寫法，完成300-800字短文；中階者引導深入敘寫，能完成800-1203字散文；高階者則鼓勵投文學獎項與課外讀書心得獎項，且持續鼓勵閱讀，進而完成專題簡報，上台口頭發表。</t>
  </si>
  <si>
    <t>(300字元)
本校自109學年度起，推動中文主題課程，依科系屬性設計專業相關之主題課程，透過第一學期期初中文檢測前測進行診斷，修課期間引導學生閱讀理解與書寫練習，強化課外閱讀心得閱讀與文學獎寫作，培養學生擷取訊息、統整解釋的閱讀理解能力。並於第二學期實施後測，瞭解修課前後中文能力提升率，以滾動修正教學方法。程度初級者，建立閱讀理解，引導學習興趣；文學書寫分為三級，初級者引導三段式書寫法，完成300-800字短文；中階者引導深入敘寫，能完成800-1204字散文；高階者則鼓勵投文學獎項與課外讀書心得獎項，且持續鼓勵閱讀，進而完成專題簡報，上台口頭發表。</t>
  </si>
  <si>
    <t>(300字元)
本校自109學年度起，推動中文主題課程，依科系屬性設計專業相關之主題課程，透過第一學期期初中文檢測前測進行診斷，修課期間引導學生閱讀理解與書寫練習，強化課外閱讀心得閱讀與文學獎寫作，培養學生擷取訊息、統整解釋的閱讀理解能力。並於第二學期實施後測，瞭解修課前後中文能力提升率，以滾動修正教學方法。程度初級者，建立閱讀理解，引導學習興趣；文學書寫分為三級，初級者引導三段式書寫法，完成300-800字短文；中階者引導深入敘寫，能完成800-1205字散文；高階者則鼓勵投文學獎項與課外讀書心得獎項，且持續鼓勵閱讀，進而完成專題簡報，上台口頭發表。</t>
  </si>
  <si>
    <t>(300字元)
本校自109學年度起，推動中文主題課程，依科系屬性設計專業相關之主題課程，透過第一學期期初中文檢測前測進行診斷，修課期間引導學生閱讀理解與書寫練習，強化課外閱讀心得閱讀與文學獎寫作，培養學生擷取訊息、統整解釋的閱讀理解能力。並於第二學期實施後測，瞭解修課前後中文能力提升率，以滾動修正教學方法。程度初級者，建立閱讀理解，引導學習興趣；文學書寫分為三級，初級者引導三段式書寫法，完成300-800字短文；中階者引導深入敘寫，能完成800-1206字散文；高階者則鼓勵投文學獎項與課外讀書心得獎項，且持續鼓勵閱讀，進而完成專題簡報，上台口頭發表。</t>
  </si>
  <si>
    <t>(300字元)
本校自109學年度起，推動中文主題課程，依科系屬性設計專業相關之主題課程，透過第一學期期初中文檢測前測進行診斷，修課期間引導學生閱讀理解與書寫練習，強化課外閱讀心得閱讀與文學獎寫作，培養學生擷取訊息、統整解釋的閱讀理解能力。並於第二學期實施後測，瞭解修課前後中文能力提升率，以滾動修正教學方法。程度初級者，建立閱讀理解，引導學習興趣；文學書寫分為三級，初級者引導三段式書寫法，完成300-800字短文；中階者引導深入敘寫，能完成800-1207字散文；高階者則鼓勵投文學獎項與課外讀書心得獎項，且持續鼓勵閱讀，進而完成專題簡報，上台口頭發表。</t>
  </si>
  <si>
    <t>(300字元)
本校自109學年度起，推動中文主題課程，依科系屬性設計專業相關之主題課程，透過第一學期期初中文檢測前測進行診斷，修課期間引導學生閱讀理解與書寫練習，強化課外閱讀心得閱讀與文學獎寫作，培養學生擷取訊息、統整解釋的閱讀理解能力。並於第二學期實施後測，瞭解修課前後中文能力提升率，以滾動修正教學方法。程度初級者，建立閱讀理解，引導學習興趣；文學書寫分為三級，初級者引導三段式書寫法，完成300-800字短文；中階者引導深入敘寫，能完成800-1208字散文；高階者則鼓勵投文學獎項與課外讀書心得獎項，且持續鼓勵閱讀，進而完成專題簡報，上台口頭發表。</t>
  </si>
  <si>
    <t>(300字元)
本校自109學年度起，推動中文主題課程，依科系屬性設計專業相關之主題課程，透過第一學期期初中文檢測前測進行診斷，修課期間引導學生閱讀理解與書寫練習，強化課外閱讀心得閱讀與文學獎寫作，培養學生擷取訊息、統整解釋的閱讀理解能力。並於第二學期實施後測，瞭解修課前後中文能力提升率，以滾動修正教學方法。程度初級者，建立閱讀理解，引導學習興趣；文學書寫分為三級，初級者引導三段式書寫法，完成300-800字短文；中階者引導深入敘寫，能完成800-1209字散文；高階者則鼓勵投文學獎項與課外讀書心得獎項，且持續鼓勵閱讀，進而完成專題簡報，上台口頭發表。</t>
  </si>
  <si>
    <t>(300字元)
本校自109學年度起，推動中文主題課程，依科系屬性設計專業相關之主題課程，透過第一學期期初中文檢測前測進行診斷，修課期間引導學生閱讀理解與書寫練習，強化課外閱讀心得閱讀與文學獎寫作，培養學生擷取訊息、統整解釋的閱讀理解能力。並於第二學期實施後測，瞭解修課前後中文能力提升率，以滾動修正教學方法。程度初級者，建立閱讀理解，引導學習興趣；文學書寫分為三級，初級者引導三段式書寫法，完成300-800字短文；中階者引導深入敘寫，能完成800-1210字散文；高階者則鼓勵投文學獎項與課外讀書心得獎項，且持續鼓勵閱讀，進而完成專題簡報，上台口頭發表。</t>
  </si>
  <si>
    <t>辦理專業英語課程(ESP、EAP)數</t>
  </si>
  <si>
    <r>
      <rPr>
        <rFont val="DFKai-SB"/>
        <color theme="1"/>
        <sz val="12.0"/>
      </rPr>
      <t xml:space="preserve">(110學年度)
</t>
    </r>
    <r>
      <rPr>
        <rFont val="標楷體"/>
        <b/>
        <strike/>
        <color rgb="FFFF0000"/>
        <sz val="12.0"/>
      </rPr>
      <t>23</t>
    </r>
    <r>
      <rPr>
        <rFont val="標楷體"/>
        <b/>
        <color rgb="FFFF0000"/>
        <sz val="12.0"/>
      </rPr>
      <t>(更正為16)</t>
    </r>
  </si>
  <si>
    <t>本次免填</t>
  </si>
  <si>
    <t>每年匯入1次，本次不匯入</t>
  </si>
  <si>
    <t>(112學年度)
24</t>
  </si>
  <si>
    <t>(113學年度)
20</t>
  </si>
  <si>
    <t>(114學年度)
20</t>
  </si>
  <si>
    <t>(115學年度)
20</t>
  </si>
  <si>
    <t>(116學年度)
20</t>
  </si>
  <si>
    <t>校基庫
表15-17</t>
  </si>
  <si>
    <t xml:space="preserve"> -</t>
  </si>
  <si>
    <t>1.每年填報1次(每年10月於技專校院校務資料庫填報)</t>
  </si>
  <si>
    <t>141
(校基庫填報146)</t>
  </si>
  <si>
    <t>257(教育部提供)</t>
  </si>
  <si>
    <t>(112-1)
195(教育部提供)</t>
  </si>
  <si>
    <t>(112-2)
271(教育部提供)</t>
  </si>
  <si>
    <t>(113-1)
217(教育部提供)</t>
  </si>
  <si>
    <t>(113-2)
223(教育部提供)
達成率89.2%</t>
  </si>
  <si>
    <t>(114-1)
280(教育部提供)</t>
  </si>
  <si>
    <t>校基庫
表4-8-3</t>
  </si>
  <si>
    <t>學生達各級CEFR能力情形-英文證照通過張數-A2</t>
  </si>
  <si>
    <t>158
(校基庫填報177)</t>
  </si>
  <si>
    <t>231(教育部提供)</t>
  </si>
  <si>
    <t>(112-1)
202(教育部提供)</t>
  </si>
  <si>
    <t>(112-2)
372(教育部提供)</t>
  </si>
  <si>
    <t>(113-1)
320(教育部提供)</t>
  </si>
  <si>
    <t>(113-2)
284(教育部提供)</t>
  </si>
  <si>
    <t>(114-1)
320(教育部提供)</t>
  </si>
  <si>
    <r>
      <rPr>
        <rFont val="標楷體"/>
        <b/>
        <strike/>
        <color theme="1"/>
        <sz val="12.0"/>
      </rPr>
      <t>201</t>
    </r>
    <r>
      <rPr>
        <rFont val="標楷體"/>
        <b/>
        <color theme="1"/>
        <sz val="12.0"/>
      </rPr>
      <t xml:space="preserve">
250</t>
    </r>
  </si>
  <si>
    <r>
      <rPr>
        <rFont val="標楷體"/>
        <b/>
        <strike/>
        <color theme="1"/>
        <sz val="12.0"/>
      </rPr>
      <t>201</t>
    </r>
    <r>
      <rPr>
        <rFont val="標楷體"/>
        <b/>
        <color theme="1"/>
        <sz val="12.0"/>
      </rPr>
      <t xml:space="preserve">
250</t>
    </r>
  </si>
  <si>
    <r>
      <rPr>
        <rFont val="標楷體"/>
        <b/>
        <strike/>
        <color theme="1"/>
        <sz val="12.0"/>
      </rPr>
      <t>202</t>
    </r>
    <r>
      <rPr>
        <rFont val="標楷體"/>
        <b/>
        <color theme="1"/>
        <sz val="12.0"/>
      </rPr>
      <t xml:space="preserve">
290</t>
    </r>
  </si>
  <si>
    <r>
      <rPr>
        <rFont val="標楷體"/>
        <b/>
        <strike/>
        <color theme="1"/>
        <sz val="12.0"/>
      </rPr>
      <t>202</t>
    </r>
    <r>
      <rPr>
        <rFont val="標楷體"/>
        <b/>
        <color theme="1"/>
        <sz val="12.0"/>
      </rPr>
      <t xml:space="preserve">
290</t>
    </r>
  </si>
  <si>
    <r>
      <rPr>
        <rFont val="標楷體"/>
        <b/>
        <strike/>
        <color theme="1"/>
        <sz val="12.0"/>
      </rPr>
      <t>203</t>
    </r>
    <r>
      <rPr>
        <rFont val="標楷體"/>
        <b/>
        <color theme="1"/>
        <sz val="12.0"/>
      </rPr>
      <t xml:space="preserve">
290</t>
    </r>
  </si>
  <si>
    <r>
      <rPr>
        <rFont val="標楷體"/>
        <b/>
        <strike/>
        <color theme="1"/>
        <sz val="12.0"/>
      </rPr>
      <t>203</t>
    </r>
    <r>
      <rPr>
        <rFont val="標楷體"/>
        <b/>
        <color theme="1"/>
        <sz val="12.0"/>
      </rPr>
      <t xml:space="preserve">
300</t>
    </r>
  </si>
  <si>
    <t>12
(校基庫填報16)</t>
  </si>
  <si>
    <t>25(教育部提供)</t>
  </si>
  <si>
    <t>(112-1)
9(教育部提供)</t>
  </si>
  <si>
    <t>(112-2)
24(教育部提供)</t>
  </si>
  <si>
    <t>(113-1)
26(教育部提供)</t>
  </si>
  <si>
    <t>(113-2)
14(教育部提供)
達成率93.33%</t>
  </si>
  <si>
    <t>(114-1)
46(教育部提供)</t>
  </si>
  <si>
    <r>
      <rPr>
        <rFont val="標楷體"/>
        <b/>
        <strike/>
        <color theme="1"/>
        <sz val="12.0"/>
      </rPr>
      <t>10</t>
    </r>
    <r>
      <rPr>
        <rFont val="標楷體"/>
        <b/>
        <color theme="1"/>
        <sz val="12.0"/>
      </rPr>
      <t xml:space="preserve">
15</t>
    </r>
  </si>
  <si>
    <r>
      <rPr>
        <rFont val="標楷體"/>
        <b/>
        <strike/>
        <color theme="1"/>
        <sz val="12.0"/>
      </rPr>
      <t>10</t>
    </r>
    <r>
      <rPr>
        <rFont val="標楷體"/>
        <b/>
        <color theme="1"/>
        <sz val="12.0"/>
      </rPr>
      <t xml:space="preserve">
15</t>
    </r>
  </si>
  <si>
    <r>
      <rPr>
        <rFont val="標楷體"/>
        <b/>
        <strike/>
        <color theme="1"/>
        <sz val="12.0"/>
      </rPr>
      <t>11</t>
    </r>
    <r>
      <rPr>
        <rFont val="標楷體"/>
        <b/>
        <color theme="1"/>
        <sz val="12.0"/>
      </rPr>
      <t xml:space="preserve">
15</t>
    </r>
  </si>
  <si>
    <r>
      <rPr>
        <rFont val="標楷體"/>
        <b/>
        <strike/>
        <color theme="1"/>
        <sz val="12.0"/>
      </rPr>
      <t>11</t>
    </r>
    <r>
      <rPr>
        <rFont val="標楷體"/>
        <b/>
        <color theme="1"/>
        <sz val="12.0"/>
      </rPr>
      <t xml:space="preserve">
20</t>
    </r>
  </si>
  <si>
    <r>
      <rPr>
        <rFont val="標楷體"/>
        <b/>
        <strike/>
        <color theme="1"/>
        <sz val="12.0"/>
      </rPr>
      <t>12</t>
    </r>
    <r>
      <rPr>
        <rFont val="標楷體"/>
        <b/>
        <color theme="1"/>
        <sz val="12.0"/>
      </rPr>
      <t xml:space="preserve">
20</t>
    </r>
  </si>
  <si>
    <r>
      <rPr>
        <rFont val="標楷體"/>
        <b/>
        <strike/>
        <color theme="1"/>
        <sz val="12.0"/>
      </rPr>
      <t>12</t>
    </r>
    <r>
      <rPr>
        <rFont val="標楷體"/>
        <b/>
        <color theme="1"/>
        <sz val="12.0"/>
      </rPr>
      <t xml:space="preserve">
25</t>
    </r>
  </si>
  <si>
    <t>1
(校基庫填報2)</t>
  </si>
  <si>
    <t>3(教育部提供)</t>
  </si>
  <si>
    <t>(112-1)
4(教育部提供)</t>
  </si>
  <si>
    <t>(112-2)
5(教育部提供)</t>
  </si>
  <si>
    <t>(113-1)
1(教育部提供)</t>
  </si>
  <si>
    <t>(113-2)
1(教育部提供)
達成率33.33%</t>
  </si>
  <si>
    <t>(114-1)
1(教育部提供)
達成率33.33%</t>
  </si>
  <si>
    <t>本校學生結構對應B2和C1以上屬高階英文 (考一次即達畢業門檻) ，將持續推動英檢考照輔導班，除提供獎勵補助外，115學年新增進步獎勵方案，提高B1.B2學生報考誘因。</t>
  </si>
  <si>
    <r>
      <rPr>
        <rFont val="標楷體"/>
        <b/>
        <strike/>
        <color theme="1"/>
        <sz val="12.0"/>
      </rPr>
      <t>5</t>
    </r>
    <r>
      <rPr>
        <rFont val="標楷體"/>
        <b/>
        <color theme="1"/>
        <sz val="12.0"/>
      </rPr>
      <t xml:space="preserve">
3</t>
    </r>
  </si>
  <si>
    <r>
      <rPr>
        <rFont val="標楷體"/>
        <b/>
        <strike/>
        <color theme="1"/>
        <sz val="12.0"/>
      </rPr>
      <t>5</t>
    </r>
    <r>
      <rPr>
        <rFont val="標楷體"/>
        <b/>
        <color theme="1"/>
        <sz val="12.0"/>
      </rPr>
      <t xml:space="preserve">
3</t>
    </r>
  </si>
  <si>
    <r>
      <rPr>
        <rFont val="標楷體"/>
        <b/>
        <strike/>
        <color theme="1"/>
        <sz val="12.0"/>
      </rPr>
      <t>5</t>
    </r>
    <r>
      <rPr>
        <rFont val="標楷體"/>
        <b/>
        <color theme="1"/>
        <sz val="12.0"/>
      </rPr>
      <t xml:space="preserve">
3</t>
    </r>
  </si>
  <si>
    <r>
      <rPr>
        <rFont val="標楷體"/>
        <b/>
        <strike/>
        <color theme="1"/>
        <sz val="12.0"/>
      </rPr>
      <t>5</t>
    </r>
    <r>
      <rPr>
        <rFont val="標楷體"/>
        <b/>
        <color theme="1"/>
        <sz val="12.0"/>
      </rPr>
      <t xml:space="preserve">
3</t>
    </r>
  </si>
  <si>
    <r>
      <rPr>
        <rFont val="標楷體"/>
        <b/>
        <strike/>
        <color theme="1"/>
        <sz val="12.0"/>
      </rPr>
      <t>5</t>
    </r>
    <r>
      <rPr>
        <rFont val="標楷體"/>
        <b/>
        <color theme="1"/>
        <sz val="12.0"/>
      </rPr>
      <t xml:space="preserve">
3</t>
    </r>
  </si>
  <si>
    <r>
      <rPr>
        <rFont val="標楷體"/>
        <b/>
        <strike/>
        <color theme="1"/>
        <sz val="12.0"/>
      </rPr>
      <t>5</t>
    </r>
    <r>
      <rPr>
        <rFont val="標楷體"/>
        <b/>
        <color theme="1"/>
        <sz val="12.0"/>
      </rPr>
      <t xml:space="preserve">
3</t>
    </r>
  </si>
  <si>
    <t>1
(校基庫填報1)</t>
  </si>
  <si>
    <t>0(教育部提供)</t>
  </si>
  <si>
    <t>(112-1)
1(教育部提供)</t>
  </si>
  <si>
    <t>(112-2)
0(教育部提供)</t>
  </si>
  <si>
    <t>(113-1)
0(教育部提供)</t>
  </si>
  <si>
    <t>(113-2)
0(教育部提供)
達成率0%</t>
  </si>
  <si>
    <t>(114-1)
0(教育部提供)
達成0%</t>
  </si>
  <si>
    <t>0
(校基庫填報0)</t>
  </si>
  <si>
    <t>(112-1)
0(教育部提供)</t>
  </si>
  <si>
    <r>
      <rPr>
        <rFont val="DFKai-SB"/>
        <color theme="1"/>
        <sz val="22.0"/>
      </rPr>
      <t>本校英檢考以TOEIC為主,現已取消C2等級，加上科大學生普遍難以取得C2，</t>
    </r>
    <r>
      <rPr>
        <rFont val="標楷體"/>
        <color rgb="FFFF0000"/>
        <sz val="22.0"/>
      </rPr>
      <t xml:space="preserve">故本項指標無法達成，建議取消本項指標。
</t>
    </r>
    <r>
      <rPr>
        <rFont val="標楷體"/>
        <b/>
        <color rgb="FFFF0000"/>
        <sz val="22.0"/>
      </rPr>
      <t>(建議刪除此句)</t>
    </r>
  </si>
  <si>
    <t>4
(校基庫填報4)</t>
  </si>
  <si>
    <t>(112-1)
6(教育部提供)</t>
  </si>
  <si>
    <t>(112-2)
3(教育部提供)</t>
  </si>
  <si>
    <t>(113-1)
6(教育部提供)</t>
  </si>
  <si>
    <t>112-1曾開設進階第二日語，並鼓勵學生考取非英語證照，因第二外語未列入畢業門檻，且上課學生普遍將第二外語視為出國可溝通工具，並無意願參加檢定考，建議本項指標改為課程通過率，作為學習評量指標。</t>
  </si>
  <si>
    <r>
      <rPr>
        <rFont val="標楷體"/>
        <b val="0"/>
        <strike/>
        <color theme="1"/>
        <sz val="12.0"/>
      </rPr>
      <t>4</t>
    </r>
    <r>
      <rPr>
        <rFont val="標楷體"/>
        <b val="0"/>
        <color theme="1"/>
        <sz val="12.0"/>
      </rPr>
      <t xml:space="preserve">
3</t>
    </r>
  </si>
  <si>
    <r>
      <rPr>
        <rFont val="標楷體"/>
        <b val="0"/>
        <strike/>
        <color theme="1"/>
        <sz val="12.0"/>
      </rPr>
      <t>4</t>
    </r>
    <r>
      <rPr>
        <rFont val="標楷體"/>
        <b val="0"/>
        <color theme="1"/>
        <sz val="12.0"/>
      </rPr>
      <t xml:space="preserve">
5</t>
    </r>
  </si>
  <si>
    <t>協助學生提升英語能力及修讀專業英語
課程ESP或EAP課程之具體推動策略描述</t>
  </si>
  <si>
    <t>1.建置職場英語沉浸教學，以職場社交用語/英語書信應用/英語簡報等，辦理學習活動與競賽，打造自然無壓力的語感教學模式。
2.編纂專業英語教材與學習手冊，協助專業學術英語課程(EAP)開設。</t>
  </si>
  <si>
    <t>(112-1)
1.建置職場英語沉浸教學，以職場社交用語/英語書信應用/英語簡報等，辦理學習活動與競賽，打造自然無壓力的語感教學模式。
2.編纂專業英語教材與學習手冊，協助專業學術英語課程(EAP)開設</t>
  </si>
  <si>
    <t>(112-2)
1.建置職場英語沉浸教學，以職場社交用語/英語書信應用/英語簡報等，辦理學習活動與競賽，打造自然無壓力的語感教學模式。
2.編纂專業英語教材與學習手冊，協助專業學術英語課程(EAP)開設。</t>
  </si>
  <si>
    <t>(113-1)
1.建置職場英語沉浸教學，以職場社交用語/英語書信應用/英語簡報等，辦理學習活動與競賽，打造自然無壓力的語感教學模式。
2.編纂專業英語教材與學習手冊，協助專業學術英語課程(EAP)開設。</t>
  </si>
  <si>
    <t>(113-2)  
1.建置職場英語沉浸教學，以職場社交用語/英語書信應用/英語簡報等，辦理學習活動與競賽，打造自然無壓力的語感教學模式。
2.編纂專業英語教材與學習手冊，協助專業學術英語課程(EAP)開設。</t>
  </si>
  <si>
    <t>(114-1)
1.建置職場英語沉浸教學，以職場社交用語/英語書信應用/英語簡報等，辦理學習活動與競賽，打造自然無壓力的語感教學模式。
2.編纂專業英語教材與學習手冊，協助專業學術英語課程(EAP)開設。</t>
  </si>
  <si>
    <t>1.建置職場英語沉浸教學，以職場社交用語/英語書信應用/英語簡報等，辦理學習活動與競賽，打造自然無壓力的語感教學模式。
2.編纂專業英語教材與學習手冊，協助專業學術英語課程(EAP)開設</t>
  </si>
  <si>
    <t>優化師資質量及改善生師比推動成效</t>
  </si>
  <si>
    <t>生師比</t>
  </si>
  <si>
    <t>本次不填報</t>
  </si>
  <si>
    <t>(112-2)
21.87</t>
  </si>
  <si>
    <t>(113-1)
21.72(教育部提供)</t>
  </si>
  <si>
    <t>(113-2)
21.64(教育部提供)</t>
  </si>
  <si>
    <t>(114-1)
21.19(教育部提供)</t>
  </si>
  <si>
    <t>(114-2)
20.47(教育部提供)</t>
  </si>
  <si>
    <t>專科以上學校總量發展規模與資源條件標準</t>
  </si>
  <si>
    <t>人事室</t>
  </si>
  <si>
    <t>善盡社會責任</t>
  </si>
  <si>
    <t>與中長期校務發展連結之作法與具體成果</t>
  </si>
  <si>
    <t>(300字元)
盤點現有的數位化與紙本資料影響因素，為建立校務資料倉儲系統做準備。訂立相關相務資料蒐集處理及利用辦法與倫理規範，將利用資料來進行重要決策視為一種合情合理之日常工作之一。</t>
  </si>
  <si>
    <r>
      <rPr>
        <rFont val="DFKai-SB"/>
        <color theme="1"/>
        <sz val="12.0"/>
      </rPr>
      <t xml:space="preserve">(300字元)
</t>
    </r>
    <r>
      <rPr>
        <rFont val="標楷體"/>
        <color rgb="FFFF0000"/>
        <sz val="12.0"/>
      </rPr>
      <t>建置以學生為中心之教務資料之資料倉儲系統，並將持續維護資料字典版本與內容。並據之持續發展可協助校務發展之對應的分析議題。且以資料主動性趨動生源穩定與招生口碑推薦策略，並公開研究成果。</t>
    </r>
  </si>
  <si>
    <t>建置以學生為中心之教務資料之資料倉儲系統，並將持續維護資料字典版本與內容。並據之持續發展可協助校務發展之對應的分析議題。且以資料主動性趨動生源穩定與招生口碑推薦策略，並公開研究成果。</t>
  </si>
  <si>
    <t>(112-2)
建置以學生為中心之教務資料之資料倉儲系統，並將持續維護資料字典版本與內容。並據之持續發展可協助校務發展之對應的分析議題。且以資料主動性趨動生源穩定與招生口碑推薦策略，並公開研究成果。</t>
  </si>
  <si>
    <t>(113-1)
規劃及建置雲端視覺化互動查詢平台以提供充份即時資訊。並規劃以機器學習等演算法建立以資料趨動為基礎之教學成效預測評估系統，並建立提案機制以量化實踐校務研究成果。</t>
  </si>
  <si>
    <t>(113-2)
盤點外部資料及可能之相關利害關係人，並建立其本校之資料來源地圖、並以關聯式資料的逐步建立相關資料字典。。</t>
  </si>
  <si>
    <t>(114-1)  
逐步建置教務及學務資料之雲端視覺化互動查詢平台，整合利害關係人資料庫與校務資料系統，發展資料驅動之分析與決策支援機制，以強化校務研究與中長期發展之連結。</t>
  </si>
  <si>
    <t>(114-2)
整合外部來源及附設機構之校務研究資料，主動取得外部關係人之意見回饋，以建立更完整之校務經營資料倉儲系統，並逐步更新相關IR資料庫之資料字典。</t>
  </si>
  <si>
    <t>(300字元)
建置以學生為中心之教務資料之資料倉儲系統，並將持續維護資料字典版本與內容。並據之持續發展可協助校務發展之對應的分析議題。且以資料主動性趨動生源穩定與招生口碑推薦策略，並公開研究成果。</t>
  </si>
  <si>
    <t>(300字元)
建置以教師為中心之教師發展資料倉儲系統，並將持續維護資料字典版本與內容。並據之持續發展可協助校務發展之對應的分析議題。且以資料主動性趨動教師能穩定向上發展與專業形象呈現與推撥。並公開研究成果。</t>
  </si>
  <si>
    <t>(300字元)
規劃及建置雲端視覺化互動查詢平台以提供充份即時資訊。並規劃以機器學習等演算法建立以資料趨動為基礎之教學成效預測評估系統，並建立提案機制以量化實踐校務研究成果。</t>
  </si>
  <si>
    <t>(300字元)
盤點外部資料及可能之相關利害關係人，並建立其本校之資料來源地圖、並以關聯式資料的逐步建立相關資料字典。</t>
  </si>
  <si>
    <t>(300字元)
規劃全校範疇之教務及學務資料的雲端視覺化互動查詢平台提供充份即時資訊。並規劃以機器學習等演算法建立以資料趨動為基礎之教學成效預測評估機制，並建立校內IR議題之提案機制以量化實踐校務研究成果。</t>
  </si>
  <si>
    <t>(300字元)
整合外部來源及附設機構之校務研究資料，主動取得外部關係人之意見回饋，以建立更完整之校務經營資料倉儲系統，並逐步更新相關IR資料庫之資料字典。</t>
  </si>
  <si>
    <t>(300字元)
延伸本校之現有校務系統成為多維度校務研究資料倉儲系統，以評估如何改善辦學成效、永續營之最適模式，並與國際校務研究成果接軌及公開研究成果。</t>
  </si>
  <si>
    <t>(原)校研室</t>
  </si>
  <si>
    <t>結合學校教研能量及社會資源，促進在地永續發展之作法及成效</t>
  </si>
  <si>
    <t>(300字元)
以USR做為比鄰共好的永續培力行動基地，逐步推出各種行動方案與策略聯盟行動，以推動本校與在地之永續培力能量。</t>
  </si>
  <si>
    <t>以USR做為比鄰共好的永續培力行動基地，逐步推出各種行動方案與策略聯盟行動，以推動本校與在地之永續培力能量。</t>
  </si>
  <si>
    <t>(112-2)
以USR做為比鄰共好的永續培力行動基地，逐步推出各種行動方案與策略聯盟行動，以推動本校與在地之永續培力能量。</t>
  </si>
  <si>
    <t>(113-1)
以科技為媒介，與本地之社會團體建立連結，在地化數位實踐，形成在地場域與課程串聯循環，為地方之特色產業及數位轉型提供創新應用方案。</t>
  </si>
  <si>
    <t xml:space="preserve">(113-2)
以科技為媒介，與本地之社會團體建立連結，在地化數位實踐，形成在地場域與課程串聯循環，為地方之特色產業及數位轉型提供創新應用方案。
</t>
  </si>
  <si>
    <t>(114-1)  
以科技應用為基礎，深化在地場域與產學合作關係，發展跨域協作機制與共創模式，促進產學合作與永續發展。</t>
  </si>
  <si>
    <t>(114-2)
以跨領域為本，透過資料分析基礎回饋之課程改革，提出能與本校之校內外利害關係人合作，及共同參與之社會實踐方案。</t>
  </si>
  <si>
    <t>(300字元)
逐步提昇本校教學研究盤能量與成果，申請各項學術研究補助亮點計畫，集中資源強化在地深耕實踐價值。</t>
  </si>
  <si>
    <t>(300字元)
以科技為媒介，與本地之社會團體建立連結，在地化數位實踐，形成在地場域與課程串聯循環，為地方之特色產業及數位轉型提供創新應用方案。</t>
  </si>
  <si>
    <t>(300字元)
以科技為基礎、包容性為輔助策略，培育具韌性與實踐力的合作模式，來協助拉拔區域之產學實踐力，達到產學間的資源共創。</t>
  </si>
  <si>
    <t>（300字元）
以跨領域為本，透過資料分析基礎回饋之課程改革，提出能與本校之校內外利害關係人合作，及共同參與之社會實踐方案。</t>
  </si>
  <si>
    <t>(300字元)
持續發展適應在地性之各項專業課程，將活化能量以跨領域之實際研究為基礎之課程。</t>
  </si>
  <si>
    <r>
      <rPr>
        <rFont val="標楷體"/>
        <color rgb="FFFF0000"/>
        <sz val="12.0"/>
      </rPr>
      <t>9</t>
    </r>
    <r>
      <rPr>
        <rFont val="標楷體"/>
        <color rgb="FFFF0000"/>
        <sz val="12.0"/>
      </rPr>
      <t>(教育部提供)</t>
    </r>
  </si>
  <si>
    <r>
      <rPr>
        <rFont val="標楷體"/>
        <color rgb="FFFF0000"/>
        <sz val="12.0"/>
      </rPr>
      <t>39</t>
    </r>
    <r>
      <rPr>
        <rFont val="標楷體"/>
        <color rgb="FFFF0000"/>
        <sz val="12.0"/>
      </rPr>
      <t>(教育部提供)</t>
    </r>
  </si>
  <si>
    <t>(112-1)
83(教育部提供)</t>
  </si>
  <si>
    <t>(112-2)
102(教育部提供)</t>
  </si>
  <si>
    <t>(113-1)
88(教育部提供)</t>
  </si>
  <si>
    <t>(113-2)
89(教育部提供)</t>
  </si>
  <si>
    <t>(114-1)
93(教育部提供)</t>
  </si>
  <si>
    <t>(114-2)
81(教育部提供)
達成率73.63%</t>
  </si>
  <si>
    <t>因應開課數減少，調降目標值。</t>
  </si>
  <si>
    <r>
      <rPr>
        <rFont val="DFKai-SB"/>
        <color theme="1"/>
        <sz val="12.0"/>
      </rPr>
      <t>教務處</t>
    </r>
    <r>
      <rPr>
        <rFont val="標楷體"/>
        <color rgb="FFFF0000"/>
        <sz val="12.0"/>
      </rPr>
      <t>課註組</t>
    </r>
  </si>
  <si>
    <t>1.不重複計算創新教學授課教師數
2.多師共授計算方式，該位教師僅列計一次</t>
  </si>
  <si>
    <r>
      <rPr>
        <rFont val="標楷體"/>
        <color rgb="FFFF0000"/>
        <sz val="12.0"/>
      </rPr>
      <t>348</t>
    </r>
    <r>
      <rPr>
        <rFont val="標楷體"/>
        <color rgb="FFFF0000"/>
        <sz val="12.0"/>
      </rPr>
      <t>(教育部提供)</t>
    </r>
  </si>
  <si>
    <r>
      <rPr>
        <rFont val="標楷體"/>
        <color rgb="FFFF0000"/>
        <sz val="12.0"/>
      </rPr>
      <t>1,911</t>
    </r>
    <r>
      <rPr>
        <rFont val="標楷體"/>
        <color rgb="FFFF0000"/>
        <sz val="12.0"/>
      </rPr>
      <t>(教育部提供)</t>
    </r>
  </si>
  <si>
    <t>(112-1)
2122(教育部提供)</t>
  </si>
  <si>
    <t>(112-2)
2211(教育部提供)</t>
  </si>
  <si>
    <t>(113-1)
2049(教育部提供)</t>
  </si>
  <si>
    <t>(113-2)
1616(教育部提供)</t>
  </si>
  <si>
    <t>(114-1)
1800(教育部提供)</t>
  </si>
  <si>
    <t>(114-2)
1232(教育部提供)
達成率55.24%</t>
  </si>
  <si>
    <t>因少子化影響，致使修讀人次下滑，建議修正目標值。</t>
  </si>
  <si>
    <t>因應開課數及修課人數減少，調降目標值。</t>
  </si>
  <si>
    <r>
      <rPr>
        <rFont val="DFKai-SB"/>
        <color theme="1"/>
        <sz val="12.0"/>
      </rPr>
      <t>教務處</t>
    </r>
    <r>
      <rPr>
        <rFont val="標楷體"/>
        <color rgb="FFFF0000"/>
        <sz val="12.0"/>
      </rPr>
      <t>課註組</t>
    </r>
  </si>
  <si>
    <t>學校輔導創新創業團隊產品原型商品化件數</t>
  </si>
  <si>
    <t>(110年度現況值)
5</t>
  </si>
  <si>
    <t>(111年度現況值)
5</t>
  </si>
  <si>
    <t>(112年度)
5</t>
  </si>
  <si>
    <t>(113年度)
7</t>
  </si>
  <si>
    <t>(114年度)
7</t>
  </si>
  <si>
    <t>(113年度)
6</t>
  </si>
  <si>
    <t>(115年度)
8</t>
  </si>
  <si>
    <t>(116年度)
10</t>
  </si>
  <si>
    <t>114年度</t>
  </si>
  <si>
    <t>1.產品原型商品化定義:培育創新學生團隊創作作品轉化為符合產業需求之雛型商品。</t>
  </si>
  <si>
    <t>協助學生創新創業之具體推動策略描述
（含輔導校內創新創業團隊概況）</t>
  </si>
  <si>
    <t>鼓勵上學年校園創業競賽獲獎團隊參加u-start創新創業計畫，在校內辦理校友創業講座，依據講者在長照體系的創業心路歷程，給予學弟妹未來想從事長照服務相關方面事業經驗分享；辦理創意行銷影片工作坊協助學生習得創業網路行銷途徑，校園創業競賽提供師生創業舞台；110年企業團隊進駐培育數家數為11家。</t>
  </si>
  <si>
    <t>U-START創業團隊獲選第二階段績優團隊，並鼓勵該團隊參加國科會FITI創新創業績勵計畫；完成110-2校園創業競賽優勝團隊進駐培育室，辦理創意行銷影片競賽並鼓勵上傳至網路平台；持續辦理校友創業講座，分享幼兒園經營及如何以二代進行轉型之經驗，分析幼兒產業事業未來之展望；研擬111-2專利申請工作坊與專利商品化講座；111年企業團隊進駐培育數家數為7家。</t>
  </si>
  <si>
    <t>辦理2023年全國校園行銷創意影片競賽，全國大專校院及高中職共35組團隊113人參加，本中心訂於112年11月20日辦理頒獎典禮，大專校院及高中職組共14組獲獎；辦理「由研發社群至實體製作到專題競賽及實證應用」研習會，瞭解由研發社群創意發想產出專利至研發產品實體製作的過程；112年企業團隊進駐培育數家數為9家。</t>
  </si>
  <si>
    <t>(112-2)
辦理2023年全國校園行銷創意影片競賽，全國大專校院及高中職共35組團隊113人參加，本中心訂於112年11月20日辦理頒獎典禮，大專校院及高中職組共14組獲獎；辦理「由研發社群至實體製作到專題競賽及實證應用」研習會，瞭解由研發社群創意發想產出專利至研發產品實體製作的過程；112年企業團隊進駐培育數家數為9家。</t>
  </si>
  <si>
    <t>(113-1)
辦理2024年全國校園行銷創意影片競賽，全國大專校院及高中職參加學生數共151人；113年共辦理2場講座，分別為校友創業講座及學生競賽獲獎經驗分享講座；113年企業團隊進駐培育數家數為9家。</t>
  </si>
  <si>
    <t>(113-2)
辦理2024年全國校園行銷創意影片競賽，全國大專校院及高中職參加學生數共151人；113年共辦理2場講座，分別為校友創業講座及學生競賽獲獎經驗分享講座；113年企業團隊進駐培育數家數為9家。</t>
  </si>
  <si>
    <t>(114-1)  
辦理三創系列講座，提升師生專利申請數，辦理校園創業競賽並協助學院辦理三創競賽，萌芽潛在團隊參加校外創新創業競賽。</t>
  </si>
  <si>
    <t>(114-2)
辦理校友創業、智慧財產權講座，提升師生專利申請數，辦理校園創業競賽，協助學院辦理三創競賽。</t>
  </si>
  <si>
    <t xml:space="preserve">辦理校友創業、智慧財產權講座，提升師生專利申請數，辦理校園創業競賽，協助學院辦理三創競賽。
</t>
  </si>
  <si>
    <t>辦理本部核定產學專班學生數</t>
  </si>
  <si>
    <r>
      <rPr>
        <rFont val="標楷體"/>
        <b/>
        <color rgb="FFFF0000"/>
        <sz val="12.0"/>
      </rPr>
      <t>(110年度現況值)</t>
    </r>
    <r>
      <rPr>
        <rFont val="標楷體"/>
        <color rgb="FFFF0000"/>
        <sz val="12.0"/>
      </rPr>
      <t xml:space="preserve">
87(教育部提供)</t>
    </r>
  </si>
  <si>
    <r>
      <rPr>
        <rFont val="標楷體"/>
        <b/>
        <color rgb="FFFF0000"/>
        <sz val="12.0"/>
      </rPr>
      <t>(111年度現況值)</t>
    </r>
    <r>
      <rPr>
        <rFont val="標楷體"/>
        <color rgb="FFFF0000"/>
        <sz val="12.0"/>
      </rPr>
      <t xml:space="preserve">
140(教育部提供)</t>
    </r>
  </si>
  <si>
    <t>(112年度現況值)
223(教育部提供)</t>
  </si>
  <si>
    <t>(113年度現況值)
113(教育部提供)</t>
  </si>
  <si>
    <t>(114學年度)
54(教育部提供)
達成率29.67%</t>
  </si>
  <si>
    <t>產學攜手專班之目標值係以目前教育部已核定開班之人數填報，而因114學年度未開班，故導致學生數未達目標值。</t>
  </si>
  <si>
    <t>(112年度)
177</t>
  </si>
  <si>
    <t>(113學年度)
180</t>
  </si>
  <si>
    <t>(114學年度)
182</t>
  </si>
  <si>
    <t>(115學年度)
185</t>
  </si>
  <si>
    <t>(116學年度)
188</t>
  </si>
  <si>
    <t>教育部匯入</t>
  </si>
  <si>
    <t>114學年度</t>
  </si>
  <si>
    <t>學校承接30萬元以上產學計畫案件數</t>
  </si>
  <si>
    <r>
      <rPr>
        <rFont val="標楷體"/>
        <color rgb="FFFF0000"/>
        <sz val="12.0"/>
      </rPr>
      <t>(110年度現況值)</t>
    </r>
    <r>
      <rPr>
        <rFont val="標楷體"/>
        <color theme="1"/>
        <sz val="12.0"/>
      </rPr>
      <t xml:space="preserve">
免填</t>
    </r>
  </si>
  <si>
    <t>(111年度現況值)
43(教育部提供)</t>
  </si>
  <si>
    <t>(112年度)
40(教育部提供)</t>
  </si>
  <si>
    <t>(113年度)
52(教育部提供)</t>
  </si>
  <si>
    <t>(114學年度)
40(教育部提供)
達成率88.88%</t>
  </si>
  <si>
    <t>校基庫
表1-8</t>
  </si>
  <si>
    <t>學校教師專利件數</t>
  </si>
  <si>
    <r>
      <rPr>
        <rFont val="標楷體"/>
        <color rgb="FFFF0000"/>
        <sz val="12.0"/>
      </rPr>
      <t xml:space="preserve">(110年度現況值)
</t>
    </r>
    <r>
      <rPr>
        <rFont val="標楷體"/>
        <color theme="1"/>
        <sz val="12.0"/>
      </rPr>
      <t>12</t>
    </r>
    <r>
      <rPr>
        <rFont val="標楷體"/>
        <color rgb="FFFF0000"/>
        <sz val="12.0"/>
      </rPr>
      <t>(教育部提供)</t>
    </r>
    <r>
      <rPr>
        <rFont val="標楷體"/>
        <color theme="1"/>
        <sz val="12.0"/>
      </rPr>
      <t xml:space="preserve">
</t>
    </r>
  </si>
  <si>
    <t>(111年度現況值)
11</t>
  </si>
  <si>
    <t>(112年度)
13(教育部提供)</t>
  </si>
  <si>
    <t>(113年度)
11(教育部提供)</t>
  </si>
  <si>
    <t>(114年度)
18(教育部提供)</t>
  </si>
  <si>
    <t>校基庫
表1-12</t>
  </si>
  <si>
    <t>學校技術移轉件數</t>
  </si>
  <si>
    <r>
      <rPr>
        <rFont val="標楷體"/>
        <color rgb="FFFF0000"/>
        <sz val="12.0"/>
      </rPr>
      <t>(110年度現況值)</t>
    </r>
    <r>
      <rPr>
        <rFont val="標楷體"/>
        <color theme="1"/>
        <sz val="12.0"/>
      </rPr>
      <t xml:space="preserve">
</t>
    </r>
    <r>
      <rPr>
        <rFont val="標楷體"/>
        <color theme="1"/>
        <sz val="12.0"/>
      </rPr>
      <t>0</t>
    </r>
    <r>
      <rPr>
        <rFont val="標楷體"/>
        <color rgb="FFFF0000"/>
        <sz val="12.0"/>
      </rPr>
      <t>(教育部提供)</t>
    </r>
  </si>
  <si>
    <t>(111年度現況值)
0</t>
  </si>
  <si>
    <t>(112年度)
0(教育部提供)</t>
  </si>
  <si>
    <t>(113年度)
0(教育部提供)</t>
  </si>
  <si>
    <t>教育部尚未匯入114年達成值
與承辦人確認本年度為0</t>
  </si>
  <si>
    <t>本校教師與廠商於114年底已開始洽談技術移轉授權案，因執行計畫期間待需配合廠商內部行政流程及年度規劃，故延至115年度完成簽約。</t>
  </si>
  <si>
    <t>校基庫
表1-16</t>
  </si>
  <si>
    <t>學校推動產學合作之具體推動策略描述</t>
  </si>
  <si>
    <t>(111年)
整合校內高齡研發資源團隊，鼓勵積極爭取校外計畫；媒合並強化與附設醫院/區域醫院之合作計畫；透過本校老化及疾病預防研究中心藉由老化檢測與疾病預防特色，推動與醫護產業進行產學合作研發；結合本校專業特色與公部門及在地產業簽署策略聯盟，建立本校與產業鏈結的基石，架構產學合作的推動管道；籌組跨領域產業輔導團隊，維繫與產業鏈結關係，為進一步合作鋪路；編列經費推動先期產學合作，協助開啟教師與業界合作契機；優化相關獎補助法規制度及獎勵措施，推動研發資源與儀器設備共享制度與平台，激勵教師投入產學合作行列。</t>
  </si>
  <si>
    <t>(112年度)
整合高齡研發源團隊，積極爭取校外計畫；媒合並強化與附設醫院/區域醫院之合作計畫；透過本校老化及疾病預防研究中心老化檢測與疾病預防特色，推動與醫護產業進行產學合作；持續與公、私部門及在地產業簽署策略聯盟，建立本校鏈結基石，架構合作推動管道；籌組跨領域產業輔導團隊，維繫產業鏈結關係，為進一步合作鋪路；推動先期產學合作，協助開啟教師與業界合作契機；定期辦理運用智慧科技解決方案論壇，推動智慧科技ABC在健康照護、智慧醫療、環境科技等領域的運用，建構與產業在智慧科技領域的合作基礎；盤點本校在「智慧生活」、「健康樂活」與「永續環境」三大應用領域可發展項目，集中投入資源開創新技術，協助產業創新轉型及AI化。</t>
  </si>
  <si>
    <t>(113年度)
整合高齡研發源團隊，積極爭取校外計畫；媒合並強化與附設醫院/區域醫院之合作計畫；透過本校老化及疾病預防研究中心老化檢測與疾病預防特色，推動與醫護產業進行產學合作；持續與公、私部門及在地產業簽署策略聯盟，建立本校鏈結基石，架構合作推動管道；籌組跨領域產業輔導團隊，維繫產業鏈結關係，為進一步合作鋪路；推動先期產學合作，協助開啟教師與業界合作契機；定期辦理運用智慧科技解決方案論壇，推動智慧科技ABC在健康照護、智慧醫療、環境科技等領域的運用，建構與產業在智慧科技領域的合作基礎；盤點本校在「智慧生活」、「健康樂活」與「永續環境」三大應用領域可發展項目，集中投入資源開創新技術，協助產業創新轉型及AI化。</t>
  </si>
  <si>
    <t>(114年度)
整合高齡研發源團隊，積極爭取校外計畫；媒合並強化與附設醫院/區域醫院之合作計畫；透過本校老化及疾病預防研究中心老化檢測與疾病預防特色，推動與醫護產業進行產學合作；持續與公、私部門及在地產業簽署策略聯盟，建立本校鏈結基石，架構合作推動管道；籌組跨領域產業輔導團隊，維繫產業鏈結關係，為進一步合作鋪路；推動先期產學合作，協助開啟教師與業界合作契機；定期辦理運用智慧科技解決方案論壇，推動智慧科技ABC在健康照護、智慧醫療、環境科技等領域的運用，建構與產業在智慧科技領域的合作基礎；盤點本校在「智慧生活」、「健康樂活」與「永續環境」三大應用領域可發展項目，集中投入資源開創新技術，協助產業創新轉型及AI化。</t>
  </si>
  <si>
    <t>整合高齡研發源團隊，積極爭取校外計畫；媒合並強化與附設醫院/區域醫院之合作計畫；透過本校老化及疾病預防研究中心老化檢測與疾病預防特色，推動與醫護產業進行產學合作；持續與公、私部門及在地產業簽署策略聯盟，建立本校鏈結基石，架構合作推動管道；籌組跨領域產業輔導團隊，維繫產業鏈結關係，為進一步合作鋪路；推動先期產學合作，協助開啟教師與業界合作契機；定期辦理運用智慧科技解決方案論壇，推動智慧科技ABC在健康照護、智慧醫療、環境科技等領域的運用，建構與產業在智慧科技領域的合作基礎；盤點本校在「智慧生活」、「健康樂活」與「永續環境」三大應用領域可發展項目，集中投入資源開創新技術，協助產業創新轉型及AI化。</t>
  </si>
  <si>
    <t>國立技專校院招收經濟不利學生概況</t>
  </si>
  <si>
    <t>經四技二專甄選入學管道「低收或中低收入戶生」錄取學生數</t>
  </si>
  <si>
    <t>私校免填</t>
  </si>
  <si>
    <t>技專校院招生委員會聯合會數據匯 入</t>
  </si>
  <si>
    <t>從六方向(學習面、技能面、生活面、經濟面、學用面、就業面)輔導扶助，針對經濟、學習、族群等各種弱勢學生，適切提供關懷輔導，特訂定本校「激勵學習安心就學作業要點」，提供八大類學生得以獲得完整的輔導機制，落實以學習取代工讀，提升本職學能與學習成效。</t>
  </si>
  <si>
    <t>(112-2)
從六方向(學習面、技能面、生活面、經濟面、學用面、就業面)輔導扶助，針對經濟、學習、族群等各種弱勢學生，適切提供關懷輔導，特訂定本校「激勵學習安心就學作業要點」，提供八大類學生得以獲得完整的輔導機制，落實以學習取代工讀，提升本職學能與學習成效。</t>
  </si>
  <si>
    <t>(113-1)
從六方向(學習面、技能面、生活面、經濟面、學用面、就業面)輔導扶助，針對經濟、學習、族群等各種弱勢學生，適切提供關懷輔導，特訂定本校「激勵學習安心就學作業要點」，提供八大類學生得以獲得完整的輔導機制，落實以學習取代工讀，提升本職學能與學習成效。</t>
  </si>
  <si>
    <t>(113-2)
從六方向(學習面、技能面、生活面、經濟面、學用面、就業面)輔導扶助，針對經濟、學習、族群等各種弱勢學生，適切提供關懷輔導，特訂定本校「激勵學習安心就學作業要點」，提供八大類學生得以獲得完整的輔導機制，落實以學習取代工讀，提升本職學能與學習成效。</t>
  </si>
  <si>
    <t>(114-1)  
從六方向(學習面、技能面、生活面、經濟面、學用面、就業面)搭配提供整體性輔導機制，給予課業、專業或職涯等組合配套，針對經濟與文化不利學生，適切提供關懷輔導，特訂定本校「激勵學習安心就學作業要點」，提供九大類學生得以獲得完整的輔導機制，落實以學習取代工讀，提升本職學能與學習成效。</t>
  </si>
  <si>
    <t>(114-2)  
從六方向(學習面、技能面、生活面、經濟面、學用面、就業面)輔導扶助，針對經濟、學習、族群等各種弱勢學生，適切提供關懷輔導，特訂定本校「激勵學習安心就學作業要點」，提供八大類學生得以獲得完整的輔導機制，落實以學習取代工讀，提升本職學能與學習成效。</t>
  </si>
  <si>
    <t>辦理全民原教相關活動場次</t>
  </si>
  <si>
    <t>8場次</t>
  </si>
  <si>
    <t>10場次</t>
  </si>
  <si>
    <t>(112-1)
32</t>
  </si>
  <si>
    <t>(112-2)
31</t>
  </si>
  <si>
    <t>(113-1)
39</t>
  </si>
  <si>
    <t>(113-2)
14</t>
  </si>
  <si>
    <t>(114-1)  
17</t>
  </si>
  <si>
    <t>(114-2)  
33</t>
  </si>
  <si>
    <t>11場次</t>
  </si>
  <si>
    <t>12場次</t>
  </si>
  <si>
    <t>每年度辦理各項原民文化教育活動，例如:傳統技藝、樂舞、文化講座。</t>
  </si>
  <si>
    <t>定期召開諮詢委員會議及校內跨單位合作機制會議機制</t>
  </si>
  <si>
    <t>原資中心針對原民生，推動「原民生數位學習教育課程」、建置「原住民族資源整合平臺」、「原民生專屬集會所」及獎助學金、學雜費減免、住宿減免、課業/就業輔導、生涯發展、民族教育（包括學生社團、自主學習族語）課程與活動之輔導協助等外，已在校內跨單位合作共同輔育原民生。
如招生暨入學服務中心辦理住宿減免；諮商輔導中心、生活輔導組建立心理/生活輔導/休退學諮詢等輔導措施，減緩休（退）學率；職業發展中心針對原住民族學生辦理生涯職探索與測評及各項生涯講座，並針對原住民族學生之升學就業率統計及畢業走向之調查。</t>
  </si>
  <si>
    <t xml:space="preserve">(112-2)
原資中心針對原民生，推動「原民生數位學習教育課程」、建置「原住民族資源整合平臺」、「原民生專屬集會所」及獎助學金、學雜費減免、住宿減免、課業/就業輔導、生涯發展、民族教育（包括學生社團、自主學習族語）課程與活動之輔導協助等外，已在校內跨單位合作共同輔育原民生。
如招生暨入學服務中心辦理住宿減免；諮商輔導中心、生活輔導組建立心理/生活輔導/休退學諮詢等輔導措施，減緩休（退）學率；職業發展中心針對原住民族學生辦理生涯職探索與測評及各項生涯講座，並針對原住民族學生之升學就業率統計及畢業走向之調查。(112-2)
</t>
  </si>
  <si>
    <t>(113-1)
原資中心針對原民生，推動「原民生數位學習教育課程」、建置「原住民族資源整合平臺」、「原民生專屬集會所」及獎助學金、學雜費減免、住宿減免、課業/就業輔導、生涯發展、民族教育（包括學生社團、自主學習族語）課程與活動之輔導協助等外，已在校內跨單位合作共同輔育原民生。
如招生暨入學服務中心辦理住宿減免；諮商輔導中心、生活輔導組建立心理/生活輔導/休退學諮詢等輔導措施，減緩休（退）學率；職業發展中心針對原住民族學生辦理生涯職探索與測評及各項生涯講座，並針對原住民族學生之升學就業率統計及畢業走向之調查。</t>
  </si>
  <si>
    <t>(113-2)
原資中心針對原民生，推動「原民生數位學習教育課程」、建置「原住民族資源整合平臺」、「原民生專屬集會所」及獎助學金、學雜費減免、住宿減免、課業/就業輔導、生涯發展、民族教育（包括學生社團、自主學習族語）課程與活動之輔導協助等外，已在校內跨單位合作共同輔育原民生。
如招生暨入學服務中心辦理住宿減免；諮商輔導中心、生活輔導組建立心理/生活輔導/休退學諮詢等輔導措施，減緩休（退）學率；職業發展中心針對原住民族學生辦理生涯職探索與測評及各項生涯講座，並針對原住民族學生之升學就業率統計及畢業走向之調查。</t>
  </si>
  <si>
    <t>(114-1)  
原資中心針對原民生，推動「原民生數位學習教育課程」、建置「原住民族資源整合平臺」、「原民生專屬集會所」及獎助學金、學雜費減免、住宿減免、課業/就業輔導、生涯發展、民族教育（包括學生社團、自主學習族語）課程與活動之輔導協助等外，已在校內跨單位合作共同輔育原民生。</t>
  </si>
  <si>
    <t>(114-2)  
原資中心針對原民生，推動「原民生數位學習教育課程」、建置「原住民族資源整合平臺」、「原民生專屬集會所」及獎助學金、學雜費減免、住宿減免、課業/就業輔導、生涯發展、民族教育（包括學生社團、自主學習族語）課程與活動之輔導協助等外，已在校內跨單位合作共同輔育原民生。
如招生暨入學服務中心辦理住宿減免；諮商輔導中心、生活輔導組建立心理/生活輔導/休退學諮詢等輔導措施，減緩休（退）學率；職業發展中心針對原住民族學生辦理生涯職探索與測評及各項生涯講座，並針對原住民族學生之升學就業率統計及畢業走向之調查。</t>
  </si>
  <si>
    <t>其
他</t>
  </si>
  <si>
    <t>校務研究（IR）落實情形</t>
  </si>
  <si>
    <t>指標項目應以IR說明是否達成政策目標，並有IR分析報告為佐證資料
(20250731更新)</t>
  </si>
  <si>
    <t>110年度(300字元)
建置以學生為中心之教務資料之資料倉儲系統後，並據之持續發展可協助教學發展之對應的分析議題。持續檢視並推動以資料主動性趨動生源穩定與口碑推薦，並公開研究成果，以回饋給教務單位及佐證政策目標之適當性。</t>
  </si>
  <si>
    <t>111年度(300字元)
建置以學生為中心之學務資料之資料倉儲系統後，並據之持續發展可協助教學發展之對應的分析議題。持續檢視並推動以資料主動性趨動生源穩定與口碑推薦，並公開研究成果，以回饋給教務單位及佐證政策目標之適當性。</t>
  </si>
  <si>
    <t>建置以學生為中心之學務資料之資料倉儲系統後，並據之持續發展可協助教學發展之對應的分析議題。持續檢視並推動以資料主動性趨動生源穩定與口碑推薦，並公開研究成果，以回饋給教務單位及佐證政策目標之適當性。</t>
  </si>
  <si>
    <r>
      <rPr>
        <rFont val="DFKai-SB"/>
        <color theme="1"/>
        <sz val="12.0"/>
      </rPr>
      <t xml:space="preserve">(112-2)
</t>
    </r>
    <r>
      <rPr>
        <rFont val="標楷體"/>
        <color rgb="FFFF0000"/>
        <sz val="12.0"/>
      </rPr>
      <t>※本次需上傳112年佐證資料檔案</t>
    </r>
    <r>
      <rPr>
        <rFont val="標楷體"/>
        <color theme="1"/>
        <sz val="12.0"/>
      </rPr>
      <t xml:space="preserve">
建置以學生為中心之學務資料之資料倉儲系統後，並據之持續發展可協助教學發展之對應的分析議題。持續檢視並推動以資料主動性趨動生源穩定與口碑推薦，並公開研究成果，以回饋給教務單位及佐證政策目標之適當性。</t>
    </r>
  </si>
  <si>
    <r>
      <rPr>
        <rFont val="DFKai-SB"/>
        <color theme="1"/>
        <sz val="22.0"/>
      </rPr>
      <t xml:space="preserve">(113年度)(300字元內)
建置以教師為中心之教師發展資料倉儲系統。並據之持續發展可協助教師發展之對應的分析議題。持續檢視並推動以資料主動性趨動教師能穩定向上發展與專業呈現與推撥。並公開研究成果以及回饋人力資源規劃及發展參考，並佐證人資政策目標之適當性。
</t>
    </r>
    <r>
      <rPr>
        <rFont val="標楷體"/>
        <color rgb="FFFF0000"/>
        <sz val="22.0"/>
      </rPr>
      <t>※本次需上傳113年佐證資料檔案（20MB內為限）</t>
    </r>
    <r>
      <rPr>
        <rFont val="標楷體"/>
        <color theme="1"/>
        <sz val="22.0"/>
      </rPr>
      <t xml:space="preserve">
佐證資料:校務研究、問責報告、利害關係人</t>
    </r>
  </si>
  <si>
    <t>(115度)
本次免填</t>
  </si>
  <si>
    <t>(300字元)
建置以學生為中心之教務資料之資料倉儲系統後，並據之持續發展可協助教學發展之對應的分析議題。持續檢視並推動以資料主動性趨動生源穩定與口碑推薦，並公開研究成果。以回饋給教務單位及佐證政策目標之適當性。</t>
  </si>
  <si>
    <t>(300字元)
建置以教師為中心之教師發展資料倉儲系統。並據之持續發展可協助教師發展之對應的分析議題。持續檢視並推動以資料主動性趨動教師能穩定向上發展與專業呈現與推撥。並公開研究成果以及回饋人力資源規劃及發展參考，並佐證人資政策目標之適當性。</t>
  </si>
  <si>
    <t>(300字元)
建置以外部利害關係人意見為中心之資料倉儲系統，並據之持續發展可協助公關發展之對應的分析議題，持續檢視並推動以資料趨動之口碑改善計畫，研究成果將予以公開並回饋給公關單位做為對外關係行動方案及策略參考，並佐證外部利害關係人聯結政策之適當性。</t>
  </si>
  <si>
    <t>(300字元)
持續檢視並推動以資料主動性趨動附設機構能穩定向上發展與專業形象呈現與推撥。並公開研究成果，並將分析成果回饋給校級主管，以持續改善，以內化成果為常態，並達到永續經營，發展韌性校園的目標。</t>
  </si>
  <si>
    <t>原校研室</t>
  </si>
  <si>
    <t>專章－國際化行政支持系統</t>
  </si>
  <si>
    <t>國際生通過華語能力測驗比率
(202412新增)</t>
  </si>
  <si>
    <t>(113年度)
71%</t>
  </si>
  <si>
    <t>國際處</t>
  </si>
  <si>
    <t>國際生人數
(202412新增)</t>
  </si>
  <si>
    <t>(113年度)
429</t>
  </si>
  <si>
    <t>學校參與「提升大學通識教育中程計畫」或落實該計畫之「大學推動通識教育優良實務」</t>
  </si>
  <si>
    <t>推動通識教育優良實務之成效
(202412新增)</t>
  </si>
  <si>
    <t>(113年度)
1.依法召開校級通識教育委員會、院系級課程委員會、院系級教師評審委員會、院級教學品質保證委員會…等持續檢討通識教育，以制度優化通識課程。
2.新設博雅課程計畫落實外審機制，精進通識教學。且扣合社會與生活情境，回應在地社會責任與全球人工智慧、健康永續議題。
3.舉辦天使嶺文學獎、自主學習競賽、程式設計成果聯合競賽，以及多場博雅涵養講座與課程外聘講座，展現學習成效。</t>
  </si>
  <si>
    <t>根據大專校院推動通識教育優良實務項目，在打造跨域學習環境與舉辦課程活動/競賽等活動，給予學生展現成果的舞台，激發學生學習動機。</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</si>
</sst>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_-* #,##0_-;\-* #,##0_-;_-* &quot;-&quot;??_-;_-@"/>
    <numFmt numFmtId="165" formatCode="0_);[Red]\(0\)"/>
    <numFmt numFmtId="166" formatCode="#,##0_);[Red]\(#,##0\)"/>
  </numFmts>
  <fonts count="31">
    <font>
      <sz val="12.0"/>
      <color theme="1"/>
      <name val="Calibri"/>
      <scheme val="minor"/>
    </font>
    <font>
      <b/>
      <sz val="18.0"/>
      <color theme="1"/>
      <name val="DFKai-SB"/>
    </font>
    <font>
      <sz val="12.0"/>
      <color theme="1"/>
      <name val="DFKai-SB"/>
    </font>
    <font>
      <b/>
      <sz val="14.0"/>
      <color theme="1"/>
      <name val="DFKai-SB"/>
    </font>
    <font/>
    <font>
      <b/>
      <sz val="12.0"/>
      <color theme="1"/>
      <name val="DFKai-SB"/>
    </font>
    <font>
      <b/>
      <sz val="12.0"/>
      <color rgb="FFFF0000"/>
      <name val="DFKai-SB"/>
    </font>
    <font>
      <b/>
      <sz val="16.0"/>
      <color rgb="FFFF0000"/>
      <name val="DFKai-SB"/>
    </font>
    <font>
      <sz val="12.0"/>
      <color theme="1"/>
      <name val="PMingLiu"/>
    </font>
    <font>
      <sz val="22.0"/>
      <color theme="1"/>
      <name val="DFKai-SB"/>
    </font>
    <font>
      <sz val="20.0"/>
      <color theme="1"/>
      <name val="DFKai-SB"/>
    </font>
    <font>
      <sz val="26.0"/>
      <color theme="1"/>
      <name val="DFKai-SB"/>
    </font>
    <font>
      <sz val="12.0"/>
      <color theme="1"/>
      <name val="Noto Sans Symbols"/>
    </font>
    <font>
      <sz val="22.0"/>
      <color rgb="FFFF0000"/>
      <name val="DFKai-SB"/>
    </font>
    <font>
      <sz val="12.0"/>
      <color rgb="FFFF0000"/>
      <name val="DFKai-SB"/>
    </font>
    <font>
      <sz val="12.0"/>
      <color rgb="FF0000FF"/>
      <name val="DFKai-SB"/>
    </font>
    <font>
      <sz val="10.0"/>
      <color rgb="FF7030A0"/>
      <name val="DFKai-SB"/>
    </font>
    <font>
      <sz val="18.0"/>
      <color theme="1"/>
      <name val="DFKai-SB"/>
    </font>
    <font>
      <sz val="10.0"/>
      <color rgb="FF0000FF"/>
      <name val="DFKai-SB"/>
    </font>
    <font>
      <sz val="12.0"/>
      <color rgb="FF7030A0"/>
      <name val="DFKai-SB"/>
    </font>
    <font>
      <b/>
      <sz val="12.0"/>
      <color rgb="FF0000FF"/>
      <name val="DFKai-SB"/>
    </font>
    <font>
      <b/>
      <sz val="20.0"/>
      <color rgb="FFFF0000"/>
      <name val="DFKai-SB"/>
    </font>
    <font>
      <sz val="20.0"/>
      <color rgb="FFFF0000"/>
      <name val="DFKai-SB"/>
    </font>
    <font>
      <sz val="14.0"/>
      <color theme="1"/>
      <name val="Microsoft JhengHei"/>
    </font>
    <font>
      <strike/>
      <sz val="12.0"/>
      <color theme="1"/>
      <name val="DFKai-SB"/>
    </font>
    <font>
      <sz val="26.0"/>
      <color theme="1"/>
      <name val="PMingLiu"/>
    </font>
    <font>
      <sz val="20.0"/>
      <color theme="1"/>
      <name val="PMingLiu"/>
    </font>
    <font>
      <color theme="1"/>
      <name val="Calibri"/>
      <scheme val="minor"/>
    </font>
    <font>
      <sz val="14.0"/>
      <color rgb="FFFF0000"/>
      <name val="DFKai-SB"/>
    </font>
    <font>
      <b/>
      <sz val="18.0"/>
      <color rgb="FFFF0000"/>
      <name val="DFKai-SB"/>
    </font>
    <font>
      <sz val="22.0"/>
      <color theme="1"/>
      <name val="PMingLiu"/>
    </font>
  </fonts>
  <fills count="15">
    <fill>
      <patternFill patternType="none"/>
    </fill>
    <fill>
      <patternFill patternType="lightGray"/>
    </fill>
    <fill>
      <patternFill patternType="solid">
        <fgColor rgb="FFC5E0B3"/>
        <bgColor rgb="FFC5E0B3"/>
      </patternFill>
    </fill>
    <fill>
      <patternFill patternType="solid">
        <fgColor rgb="FFE2EFD9"/>
        <bgColor rgb="FFE2EFD9"/>
      </patternFill>
    </fill>
    <fill>
      <patternFill patternType="solid">
        <fgColor rgb="FFF2F2F2"/>
        <bgColor rgb="FFF2F2F2"/>
      </patternFill>
    </fill>
    <fill>
      <patternFill patternType="solid">
        <fgColor rgb="FFD9E2F3"/>
        <bgColor rgb="FFD9E2F3"/>
      </patternFill>
    </fill>
    <fill>
      <patternFill patternType="solid">
        <fgColor rgb="FFFBE4D5"/>
        <bgColor rgb="FFFBE4D5"/>
      </patternFill>
    </fill>
    <fill>
      <patternFill patternType="solid">
        <fgColor rgb="FFFFF2CB"/>
        <bgColor rgb="FFFFF2CB"/>
      </patternFill>
    </fill>
    <fill>
      <patternFill patternType="solid">
        <fgColor rgb="FFFFFF00"/>
        <bgColor rgb="FFFFFF00"/>
      </patternFill>
    </fill>
    <fill>
      <patternFill patternType="solid">
        <fgColor theme="0"/>
        <bgColor theme="0"/>
      </patternFill>
    </fill>
    <fill>
      <patternFill patternType="solid">
        <fgColor rgb="FFBDD6EE"/>
        <bgColor rgb="FFBDD6EE"/>
      </patternFill>
    </fill>
    <fill>
      <patternFill patternType="solid">
        <fgColor rgb="FFD0CECE"/>
        <bgColor rgb="FFD0CECE"/>
      </patternFill>
    </fill>
    <fill>
      <patternFill patternType="solid">
        <fgColor rgb="FFFF0000"/>
        <bgColor rgb="FFFF0000"/>
      </patternFill>
    </fill>
    <fill>
      <patternFill patternType="solid">
        <fgColor rgb="FFD6DCE4"/>
        <bgColor rgb="FFD6DCE4"/>
      </patternFill>
    </fill>
    <fill>
      <patternFill patternType="solid">
        <fgColor rgb="FFBFBFBF"/>
        <bgColor rgb="FFBFBFBF"/>
      </patternFill>
    </fill>
  </fills>
  <borders count="32">
    <border/>
    <border>
      <left style="thin">
        <color rgb="FF000000"/>
      </left>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border>
    <border>
      <right style="thin">
        <color rgb="FF000000"/>
      </right>
      <top style="thin">
        <color rgb="FF000000"/>
      </top>
      <bottom style="thin">
        <color rgb="FF000000"/>
      </bottom>
    </border>
    <border>
      <left/>
      <right/>
      <top style="thin">
        <color rgb="FF000000"/>
      </top>
    </border>
    <border>
      <left/>
      <right/>
    </border>
    <border>
      <left style="thin">
        <color rgb="FF000000"/>
      </left>
      <right style="thin">
        <color rgb="FF000000"/>
      </right>
      <bottom style="thin">
        <color rgb="FF000000"/>
      </bottom>
    </border>
    <border>
      <left style="thin">
        <color rgb="FF000000"/>
      </left>
      <top style="thin">
        <color rgb="FF000000"/>
      </top>
    </border>
    <border>
      <right style="thin">
        <color rgb="FF000000"/>
      </right>
      <top style="thin">
        <color rgb="FF000000"/>
      </top>
    </border>
    <border>
      <top style="thin">
        <color rgb="FF000000"/>
      </top>
    </border>
    <border>
      <left/>
      <right/>
      <bottom/>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bottom style="thin">
        <color rgb="FF000000"/>
      </bottom>
    </border>
    <border>
      <left style="thin">
        <color rgb="FF000000"/>
      </left>
      <top style="thin">
        <color rgb="FF000000"/>
      </top>
      <bottom/>
    </border>
    <border>
      <top style="thin">
        <color rgb="FF000000"/>
      </top>
      <bottom/>
    </border>
    <border>
      <right style="thin">
        <color rgb="FF000000"/>
      </right>
      <top style="thin">
        <color rgb="FF000000"/>
      </top>
      <bottom/>
    </border>
    <border>
      <left style="thin">
        <color rgb="FF000000"/>
      </left>
      <right style="thin">
        <color rgb="FF000000"/>
      </right>
      <top/>
      <bottom style="thin">
        <color rgb="FF000000"/>
      </bottom>
    </border>
    <border>
      <left style="thin">
        <color rgb="FF000000"/>
      </left>
      <right/>
      <top style="thin">
        <color rgb="FF000000"/>
      </top>
      <bottom style="thin">
        <color rgb="FF000000"/>
      </bottom>
    </border>
    <border>
      <left style="thin">
        <color rgb="FF000000"/>
      </left>
      <right style="thin">
        <color rgb="FF000000"/>
      </right>
      <bottom/>
    </border>
    <border>
      <left style="thin">
        <color rgb="FF000000"/>
      </left>
      <right/>
      <top style="thin">
        <color rgb="FF000000"/>
      </top>
      <bottom/>
    </border>
    <border>
      <left style="thin">
        <color rgb="FF000000"/>
      </left>
      <right style="thin">
        <color rgb="FF000000"/>
      </right>
      <top/>
      <bottom/>
    </border>
    <border>
      <left/>
      <right style="thin">
        <color rgb="FF000000"/>
      </right>
      <top style="thin">
        <color rgb="FF000000"/>
      </top>
      <bottom style="thin">
        <color rgb="FF000000"/>
      </bottom>
    </border>
    <border>
      <left/>
      <right style="thin">
        <color rgb="FF000000"/>
      </right>
      <top style="thin">
        <color rgb="FF000000"/>
      </top>
      <bottom/>
    </border>
    <border>
      <left/>
      <right style="thin">
        <color rgb="FF000000"/>
      </right>
      <top/>
      <bottom/>
    </border>
    <border>
      <left/>
      <right style="thin">
        <color rgb="FF000000"/>
      </right>
      <top/>
      <bottom style="thin">
        <color rgb="FF000000"/>
      </bottom>
    </border>
  </borders>
  <cellStyleXfs count="1">
    <xf borderId="0" fillId="0" fontId="0" numFmtId="0" applyAlignment="1" applyFont="1"/>
  </cellStyleXfs>
  <cellXfs count="247">
    <xf borderId="0" fillId="0" fontId="0" numFmtId="0" xfId="0" applyAlignment="1" applyFont="1">
      <alignment readingOrder="0" shrinkToFit="0" vertical="center" wrapText="0"/>
    </xf>
    <xf borderId="1" fillId="2" fontId="1" numFmtId="0" xfId="0" applyAlignment="1" applyBorder="1" applyFill="1" applyFont="1">
      <alignment horizontal="center" shrinkToFit="0" vertical="center" wrapText="1"/>
    </xf>
    <xf borderId="2" fillId="0" fontId="2" numFmtId="0" xfId="0" applyAlignment="1" applyBorder="1" applyFont="1">
      <alignment horizontal="center" vertical="center"/>
    </xf>
    <xf borderId="1" fillId="3" fontId="3" numFmtId="3" xfId="0" applyAlignment="1" applyBorder="1" applyFill="1" applyFont="1" applyNumberFormat="1">
      <alignment horizontal="center" shrinkToFit="0" vertical="center" wrapText="1"/>
    </xf>
    <xf borderId="3" fillId="0" fontId="4" numFmtId="0" xfId="0" applyAlignment="1" applyBorder="1" applyFont="1">
      <alignment vertical="center"/>
    </xf>
    <xf borderId="4" fillId="2" fontId="1" numFmtId="0" xfId="0" applyAlignment="1" applyBorder="1" applyFont="1">
      <alignment horizontal="center" shrinkToFit="0" vertical="center" wrapText="1"/>
    </xf>
    <xf borderId="4" fillId="4" fontId="5" numFmtId="0" xfId="0" applyAlignment="1" applyBorder="1" applyFill="1" applyFont="1">
      <alignment horizontal="center" vertical="center"/>
    </xf>
    <xf borderId="5" fillId="3" fontId="3" numFmtId="3" xfId="0" applyAlignment="1" applyBorder="1" applyFont="1" applyNumberFormat="1">
      <alignment horizontal="center" shrinkToFit="0" vertical="center" wrapText="1"/>
    </xf>
    <xf borderId="4" fillId="4" fontId="2" numFmtId="0" xfId="0" applyAlignment="1" applyBorder="1" applyFont="1">
      <alignment horizontal="center" vertical="center"/>
    </xf>
    <xf borderId="6" fillId="0" fontId="4" numFmtId="0" xfId="0" applyAlignment="1" applyBorder="1" applyFont="1">
      <alignment vertical="center"/>
    </xf>
    <xf borderId="7" fillId="0" fontId="4" numFmtId="0" xfId="0" applyAlignment="1" applyBorder="1" applyFont="1">
      <alignment vertical="center"/>
    </xf>
    <xf borderId="4" fillId="0" fontId="2" numFmtId="0" xfId="0" applyAlignment="1" applyBorder="1" applyFont="1">
      <alignment shrinkToFit="0" vertical="center" wrapText="1"/>
    </xf>
    <xf borderId="8" fillId="2" fontId="1" numFmtId="0" xfId="0" applyAlignment="1" applyBorder="1" applyFont="1">
      <alignment horizontal="center" shrinkToFit="0" vertical="center" wrapText="1"/>
    </xf>
    <xf borderId="4" fillId="3" fontId="3" numFmtId="3" xfId="0" applyAlignment="1" applyBorder="1" applyFont="1" applyNumberFormat="1">
      <alignment horizontal="center" shrinkToFit="0" vertical="center" wrapText="1"/>
    </xf>
    <xf borderId="2" fillId="0" fontId="2" numFmtId="0" xfId="0" applyAlignment="1" applyBorder="1" applyFont="1">
      <alignment horizontal="left" vertical="center"/>
    </xf>
    <xf borderId="4" fillId="0" fontId="6" numFmtId="10" xfId="0" applyAlignment="1" applyBorder="1" applyFont="1" applyNumberFormat="1">
      <alignment horizontal="center" shrinkToFit="0" vertical="center" wrapText="1"/>
    </xf>
    <xf borderId="0" fillId="0" fontId="2" numFmtId="0" xfId="0" applyAlignment="1" applyFont="1">
      <alignment vertical="center"/>
    </xf>
    <xf borderId="4" fillId="0" fontId="2" numFmtId="10" xfId="0" applyAlignment="1" applyBorder="1" applyFont="1" applyNumberFormat="1">
      <alignment horizontal="center" shrinkToFit="0" vertical="center" wrapText="1"/>
    </xf>
    <xf borderId="9" fillId="0" fontId="4" numFmtId="0" xfId="0" applyAlignment="1" applyBorder="1" applyFont="1">
      <alignment vertical="center"/>
    </xf>
    <xf borderId="4" fillId="0" fontId="2" numFmtId="0" xfId="0" applyAlignment="1" applyBorder="1" applyFont="1">
      <alignment vertical="center"/>
    </xf>
    <xf borderId="1" fillId="3" fontId="3" numFmtId="0" xfId="0" applyAlignment="1" applyBorder="1" applyFont="1">
      <alignment horizontal="center" shrinkToFit="0" vertical="center" wrapText="1"/>
    </xf>
    <xf borderId="10" fillId="0" fontId="4" numFmtId="0" xfId="0" applyAlignment="1" applyBorder="1" applyFont="1">
      <alignment vertical="center"/>
    </xf>
    <xf borderId="11" fillId="0" fontId="2" numFmtId="0" xfId="0" applyAlignment="1" applyBorder="1" applyFont="1">
      <alignment horizontal="center" vertical="center"/>
    </xf>
    <xf borderId="4" fillId="5" fontId="2" numFmtId="0" xfId="0" applyAlignment="1" applyBorder="1" applyFill="1" applyFont="1">
      <alignment shrinkToFit="0" vertical="center" wrapText="1"/>
    </xf>
    <xf borderId="12" fillId="0" fontId="4" numFmtId="0" xfId="0" applyAlignment="1" applyBorder="1" applyFont="1">
      <alignment vertical="center"/>
    </xf>
    <xf borderId="4" fillId="3" fontId="3" numFmtId="0" xfId="0" applyAlignment="1" applyBorder="1" applyFont="1">
      <alignment horizontal="center" shrinkToFit="0" vertical="center" wrapText="1"/>
    </xf>
    <xf borderId="1" fillId="0" fontId="2" numFmtId="0" xfId="0" applyAlignment="1" applyBorder="1" applyFont="1">
      <alignment horizontal="center" shrinkToFit="0" vertical="center" wrapText="1"/>
    </xf>
    <xf borderId="11" fillId="0" fontId="7" numFmtId="0" xfId="0" applyAlignment="1" applyBorder="1" applyFont="1">
      <alignment horizontal="left" shrinkToFit="0" vertical="center" wrapText="1"/>
    </xf>
    <xf borderId="4" fillId="0" fontId="8" numFmtId="0" xfId="0" applyAlignment="1" applyBorder="1" applyFont="1">
      <alignment vertical="center"/>
    </xf>
    <xf borderId="13" fillId="0" fontId="4" numFmtId="0" xfId="0" applyAlignment="1" applyBorder="1" applyFont="1">
      <alignment vertical="center"/>
    </xf>
    <xf borderId="11" fillId="0" fontId="2" numFmtId="0" xfId="0" applyAlignment="1" applyBorder="1" applyFont="1">
      <alignment horizontal="left" shrinkToFit="0" vertical="center" wrapText="1"/>
    </xf>
    <xf borderId="1" fillId="3" fontId="5" numFmtId="0" xfId="0" applyAlignment="1" applyBorder="1" applyFont="1">
      <alignment horizontal="center" shrinkToFit="0" vertical="center" wrapText="1"/>
    </xf>
    <xf borderId="14" fillId="0" fontId="4" numFmtId="0" xfId="0" applyAlignment="1" applyBorder="1" applyFont="1">
      <alignment vertical="center"/>
    </xf>
    <xf borderId="15" fillId="0" fontId="4" numFmtId="0" xfId="0" applyAlignment="1" applyBorder="1" applyFont="1">
      <alignment vertical="center"/>
    </xf>
    <xf borderId="16" fillId="0" fontId="4" numFmtId="0" xfId="0" applyAlignment="1" applyBorder="1" applyFont="1">
      <alignment vertical="center"/>
    </xf>
    <xf borderId="17" fillId="0" fontId="4" numFmtId="0" xfId="0" applyAlignment="1" applyBorder="1" applyFont="1">
      <alignment vertical="center"/>
    </xf>
    <xf borderId="18" fillId="0" fontId="4" numFmtId="0" xfId="0" applyAlignment="1" applyBorder="1" applyFont="1">
      <alignment vertical="center"/>
    </xf>
    <xf borderId="19" fillId="0" fontId="4" numFmtId="0" xfId="0" applyAlignment="1" applyBorder="1" applyFont="1">
      <alignment vertical="center"/>
    </xf>
    <xf borderId="20" fillId="4" fontId="2" numFmtId="0" xfId="0" applyAlignment="1" applyBorder="1" applyFont="1">
      <alignment horizontal="center" vertical="center"/>
    </xf>
    <xf borderId="1" fillId="4" fontId="2" numFmtId="0" xfId="0" applyAlignment="1" applyBorder="1" applyFont="1">
      <alignment horizontal="center" vertical="center"/>
    </xf>
    <xf borderId="21" fillId="0" fontId="4" numFmtId="0" xfId="0" applyAlignment="1" applyBorder="1" applyFont="1">
      <alignment vertical="center"/>
    </xf>
    <xf borderId="22" fillId="0" fontId="4" numFmtId="0" xfId="0" applyAlignment="1" applyBorder="1" applyFont="1">
      <alignment vertical="center"/>
    </xf>
    <xf borderId="2" fillId="4" fontId="2" numFmtId="0" xfId="0" applyAlignment="1" applyBorder="1" applyFont="1">
      <alignment horizontal="center" shrinkToFit="0" vertical="center" wrapText="1"/>
    </xf>
    <xf borderId="2" fillId="3" fontId="9" numFmtId="0" xfId="0" applyAlignment="1" applyBorder="1" applyFont="1">
      <alignment horizontal="center" shrinkToFit="0" vertical="center" wrapText="1"/>
    </xf>
    <xf borderId="1" fillId="4" fontId="2" numFmtId="0" xfId="0" applyAlignment="1" applyBorder="1" applyFont="1">
      <alignment horizontal="center" shrinkToFit="0" vertical="center" wrapText="1"/>
    </xf>
    <xf borderId="5" fillId="6" fontId="2" numFmtId="0" xfId="0" applyAlignment="1" applyBorder="1" applyFill="1" applyFont="1">
      <alignment horizontal="center" shrinkToFit="0" vertical="center" wrapText="1"/>
    </xf>
    <xf borderId="1" fillId="4" fontId="10" numFmtId="0" xfId="0" applyAlignment="1" applyBorder="1" applyFont="1">
      <alignment horizontal="center" shrinkToFit="0" vertical="center" wrapText="1"/>
    </xf>
    <xf borderId="1" fillId="6" fontId="2" numFmtId="0" xfId="0" applyAlignment="1" applyBorder="1" applyFont="1">
      <alignment horizontal="center" shrinkToFit="0" vertical="center" wrapText="1"/>
    </xf>
    <xf borderId="5" fillId="7" fontId="2" numFmtId="0" xfId="0" applyAlignment="1" applyBorder="1" applyFill="1" applyFont="1">
      <alignment horizontal="center" shrinkToFit="0" vertical="center" wrapText="1"/>
    </xf>
    <xf borderId="5" fillId="4" fontId="2" numFmtId="0" xfId="0" applyAlignment="1" applyBorder="1" applyFont="1">
      <alignment horizontal="center" shrinkToFit="0" vertical="center" wrapText="1"/>
    </xf>
    <xf borderId="4" fillId="4" fontId="2" numFmtId="0" xfId="0" applyAlignment="1" applyBorder="1" applyFont="1">
      <alignment vertical="center"/>
    </xf>
    <xf borderId="4" fillId="4" fontId="9" numFmtId="0" xfId="0" applyAlignment="1" applyBorder="1" applyFont="1">
      <alignment horizontal="center" vertical="center"/>
    </xf>
    <xf borderId="23" fillId="3" fontId="9" numFmtId="0" xfId="0" applyAlignment="1" applyBorder="1" applyFont="1">
      <alignment horizontal="center" vertical="center"/>
    </xf>
    <xf borderId="1" fillId="7" fontId="2" numFmtId="0" xfId="0" applyAlignment="1" applyBorder="1" applyFont="1">
      <alignment horizontal="center" shrinkToFit="0" vertical="center" wrapText="1"/>
    </xf>
    <xf borderId="23" fillId="6" fontId="2" numFmtId="0" xfId="0" applyAlignment="1" applyBorder="1" applyFont="1">
      <alignment horizontal="center" shrinkToFit="0" vertical="center" wrapText="1"/>
    </xf>
    <xf borderId="1" fillId="4" fontId="6" numFmtId="0" xfId="0" applyAlignment="1" applyBorder="1" applyFont="1">
      <alignment horizontal="center" shrinkToFit="0" vertical="center" wrapText="1"/>
    </xf>
    <xf borderId="23" fillId="7" fontId="2" numFmtId="0" xfId="0" applyAlignment="1" applyBorder="1" applyFont="1">
      <alignment horizontal="center" shrinkToFit="0" vertical="center" wrapText="1"/>
    </xf>
    <xf borderId="23" fillId="4" fontId="2" numFmtId="0" xfId="0" applyAlignment="1" applyBorder="1" applyFont="1">
      <alignment horizontal="center" shrinkToFit="0" vertical="center" wrapText="1"/>
    </xf>
    <xf borderId="11" fillId="4" fontId="2" numFmtId="0" xfId="0" applyAlignment="1" applyBorder="1" applyFont="1">
      <alignment horizontal="center" shrinkToFit="0" vertical="center" wrapText="1"/>
    </xf>
    <xf borderId="4" fillId="0" fontId="2" numFmtId="0" xfId="0" applyAlignment="1" applyBorder="1" applyFont="1">
      <alignment horizontal="center" shrinkToFit="0" vertical="center" wrapText="1"/>
    </xf>
    <xf borderId="4" fillId="4" fontId="11" numFmtId="0" xfId="0" applyAlignment="1" applyBorder="1" applyFont="1">
      <alignment horizontal="center" vertical="center"/>
    </xf>
    <xf borderId="4" fillId="0" fontId="9" numFmtId="0" xfId="0" applyAlignment="1" applyBorder="1" applyFont="1">
      <alignment shrinkToFit="0" vertical="center" wrapText="1"/>
    </xf>
    <xf borderId="4" fillId="0" fontId="12" numFmtId="0" xfId="0" applyAlignment="1" applyBorder="1" applyFont="1">
      <alignment horizontal="center" shrinkToFit="0" vertical="center" wrapText="1"/>
    </xf>
    <xf borderId="4" fillId="0" fontId="2" numFmtId="3" xfId="0" applyAlignment="1" applyBorder="1" applyFont="1" applyNumberFormat="1">
      <alignment horizontal="center" shrinkToFit="0" vertical="center" wrapText="1"/>
    </xf>
    <xf borderId="4" fillId="0" fontId="6" numFmtId="3" xfId="0" applyAlignment="1" applyBorder="1" applyFont="1" applyNumberFormat="1">
      <alignment horizontal="center" shrinkToFit="0" vertical="center" wrapText="1"/>
    </xf>
    <xf borderId="4" fillId="8" fontId="9" numFmtId="0" xfId="0" applyAlignment="1" applyBorder="1" applyFill="1" applyFont="1">
      <alignment horizontal="center" shrinkToFit="0" vertical="center" wrapText="1"/>
    </xf>
    <xf borderId="4" fillId="5" fontId="13" numFmtId="0" xfId="0" applyAlignment="1" applyBorder="1" applyFont="1">
      <alignment horizontal="center" shrinkToFit="0" vertical="center" wrapText="1"/>
    </xf>
    <xf borderId="4" fillId="6" fontId="14" numFmtId="3" xfId="0" applyAlignment="1" applyBorder="1" applyFont="1" applyNumberFormat="1">
      <alignment horizontal="center" shrinkToFit="0" vertical="center" wrapText="1"/>
    </xf>
    <xf borderId="4" fillId="0" fontId="2" numFmtId="0" xfId="0" applyAlignment="1" applyBorder="1" applyFont="1">
      <alignment horizontal="center" vertical="center"/>
    </xf>
    <xf borderId="4" fillId="9" fontId="6" numFmtId="3" xfId="0" applyAlignment="1" applyBorder="1" applyFill="1" applyFont="1" applyNumberFormat="1">
      <alignment horizontal="center" shrinkToFit="0" vertical="center" wrapText="1"/>
    </xf>
    <xf borderId="4" fillId="0" fontId="11" numFmtId="0" xfId="0" applyAlignment="1" applyBorder="1" applyFont="1">
      <alignment horizontal="left" shrinkToFit="0" vertical="center" wrapText="1"/>
    </xf>
    <xf borderId="4" fillId="0" fontId="15" numFmtId="0" xfId="0" applyAlignment="1" applyBorder="1" applyFont="1">
      <alignment horizontal="center" vertical="center"/>
    </xf>
    <xf borderId="4" fillId="9" fontId="2" numFmtId="3" xfId="0" applyAlignment="1" applyBorder="1" applyFont="1" applyNumberFormat="1">
      <alignment horizontal="center" shrinkToFit="0" vertical="center" wrapText="1"/>
    </xf>
    <xf borderId="4" fillId="0" fontId="2" numFmtId="164" xfId="0" applyAlignment="1" applyBorder="1" applyFont="1" applyNumberFormat="1">
      <alignment horizontal="center" shrinkToFit="0" vertical="center" wrapText="1"/>
    </xf>
    <xf borderId="4" fillId="9" fontId="2" numFmtId="10" xfId="0" applyAlignment="1" applyBorder="1" applyFont="1" applyNumberFormat="1">
      <alignment horizontal="center" vertical="center"/>
    </xf>
    <xf borderId="4" fillId="8" fontId="10" numFmtId="10" xfId="0" applyAlignment="1" applyBorder="1" applyFont="1" applyNumberFormat="1">
      <alignment horizontal="center" vertical="center"/>
    </xf>
    <xf borderId="4" fillId="7" fontId="2" numFmtId="3" xfId="0" applyAlignment="1" applyBorder="1" applyFont="1" applyNumberFormat="1">
      <alignment horizontal="center" shrinkToFit="0" vertical="center" wrapText="1"/>
    </xf>
    <xf borderId="4" fillId="8" fontId="10" numFmtId="10" xfId="0" applyAlignment="1" applyBorder="1" applyFont="1" applyNumberFormat="1">
      <alignment horizontal="center" shrinkToFit="0" vertical="center" wrapText="1"/>
    </xf>
    <xf borderId="4" fillId="6" fontId="2" numFmtId="0" xfId="0" applyAlignment="1" applyBorder="1" applyFont="1">
      <alignment horizontal="center" vertical="center"/>
    </xf>
    <xf borderId="4" fillId="4" fontId="2" numFmtId="0" xfId="0" applyAlignment="1" applyBorder="1" applyFont="1">
      <alignment horizontal="center" shrinkToFit="0" vertical="center" wrapText="1"/>
    </xf>
    <xf borderId="2" fillId="0" fontId="6" numFmtId="0" xfId="0" applyAlignment="1" applyBorder="1" applyFont="1">
      <alignment horizontal="left" shrinkToFit="0" vertical="center" wrapText="1"/>
    </xf>
    <xf borderId="4" fillId="0" fontId="2" numFmtId="9" xfId="0" applyAlignment="1" applyBorder="1" applyFont="1" applyNumberFormat="1">
      <alignment horizontal="center" vertical="center"/>
    </xf>
    <xf borderId="4" fillId="9" fontId="2" numFmtId="3" xfId="0" applyAlignment="1" applyBorder="1" applyFont="1" applyNumberFormat="1">
      <alignment horizontal="left" shrinkToFit="0" vertical="center" wrapText="1"/>
    </xf>
    <xf borderId="4" fillId="7" fontId="2" numFmtId="9" xfId="0" applyAlignment="1" applyBorder="1" applyFont="1" applyNumberFormat="1">
      <alignment horizontal="center" vertical="center"/>
    </xf>
    <xf borderId="4" fillId="0" fontId="14" numFmtId="0" xfId="0" applyAlignment="1" applyBorder="1" applyFont="1">
      <alignment horizontal="center" shrinkToFit="0" vertical="center" wrapText="1"/>
    </xf>
    <xf borderId="4" fillId="7" fontId="9" numFmtId="0" xfId="0" applyAlignment="1" applyBorder="1" applyFont="1">
      <alignment horizontal="center" shrinkToFit="0" vertical="center" wrapText="1"/>
    </xf>
    <xf borderId="2" fillId="0" fontId="2" numFmtId="0" xfId="0" applyAlignment="1" applyBorder="1" applyFont="1">
      <alignment horizontal="left" shrinkToFit="0" vertical="center" wrapText="1"/>
    </xf>
    <xf borderId="4" fillId="5" fontId="9" numFmtId="0" xfId="0" applyAlignment="1" applyBorder="1" applyFont="1">
      <alignment horizontal="center" shrinkToFit="0" vertical="center" wrapText="1"/>
    </xf>
    <xf borderId="4" fillId="0" fontId="16" numFmtId="0" xfId="0" applyAlignment="1" applyBorder="1" applyFont="1">
      <alignment horizontal="left" shrinkToFit="0" vertical="center" wrapText="1"/>
    </xf>
    <xf borderId="4" fillId="6" fontId="13" numFmtId="3" xfId="0" applyAlignment="1" applyBorder="1" applyFont="1" applyNumberFormat="1">
      <alignment horizontal="center" shrinkToFit="0" vertical="center" wrapText="1"/>
    </xf>
    <xf borderId="4" fillId="8" fontId="5" numFmtId="3" xfId="0" applyAlignment="1" applyBorder="1" applyFont="1" applyNumberFormat="1">
      <alignment horizontal="center" shrinkToFit="0" vertical="center" wrapText="1"/>
    </xf>
    <xf borderId="4" fillId="9" fontId="2" numFmtId="0" xfId="0" applyAlignment="1" applyBorder="1" applyFont="1">
      <alignment horizontal="center" shrinkToFit="0" vertical="center" wrapText="1"/>
    </xf>
    <xf borderId="4" fillId="8" fontId="10" numFmtId="0" xfId="0" applyAlignment="1" applyBorder="1" applyFont="1">
      <alignment horizontal="center" shrinkToFit="0" vertical="center" wrapText="1"/>
    </xf>
    <xf borderId="4" fillId="8" fontId="17" numFmtId="0" xfId="0" applyAlignment="1" applyBorder="1" applyFont="1">
      <alignment horizontal="center" shrinkToFit="0" vertical="center" wrapText="1"/>
    </xf>
    <xf borderId="4" fillId="6" fontId="2" numFmtId="0" xfId="0" applyAlignment="1" applyBorder="1" applyFont="1">
      <alignment horizontal="left" shrinkToFit="0" vertical="center" wrapText="1"/>
    </xf>
    <xf borderId="2" fillId="0" fontId="2" numFmtId="9" xfId="0" applyAlignment="1" applyBorder="1" applyFont="1" applyNumberFormat="1">
      <alignment horizontal="center" shrinkToFit="0" vertical="top" wrapText="1"/>
    </xf>
    <xf borderId="24" fillId="8" fontId="9" numFmtId="0" xfId="0" applyAlignment="1" applyBorder="1" applyFont="1">
      <alignment horizontal="center" shrinkToFit="0" vertical="center" wrapText="1"/>
    </xf>
    <xf borderId="4" fillId="0" fontId="18" numFmtId="0" xfId="0" applyAlignment="1" applyBorder="1" applyFont="1">
      <alignment horizontal="left" shrinkToFit="0" vertical="center" wrapText="1"/>
    </xf>
    <xf borderId="24" fillId="6" fontId="6" numFmtId="0" xfId="0" applyAlignment="1" applyBorder="1" applyFont="1">
      <alignment horizontal="center" shrinkToFit="0" vertical="center" wrapText="1"/>
    </xf>
    <xf borderId="4" fillId="0" fontId="11" numFmtId="0" xfId="0" applyAlignment="1" applyBorder="1" applyFont="1">
      <alignment shrinkToFit="0" vertical="center" wrapText="1"/>
    </xf>
    <xf borderId="4" fillId="0" fontId="2" numFmtId="0" xfId="0" applyAlignment="1" applyBorder="1" applyFont="1">
      <alignment horizontal="center" shrinkToFit="0" vertical="top" wrapText="1"/>
    </xf>
    <xf borderId="1" fillId="0" fontId="2" numFmtId="0" xfId="0" applyAlignment="1" applyBorder="1" applyFont="1">
      <alignment horizontal="left" shrinkToFit="0" vertical="top" wrapText="1"/>
    </xf>
    <xf borderId="4" fillId="9" fontId="2" numFmtId="0" xfId="0" applyAlignment="1" applyBorder="1" applyFont="1">
      <alignment horizontal="center" shrinkToFit="0" vertical="top" wrapText="1"/>
    </xf>
    <xf borderId="4" fillId="9" fontId="2" numFmtId="10" xfId="0" applyAlignment="1" applyBorder="1" applyFont="1" applyNumberFormat="1">
      <alignment horizontal="center" shrinkToFit="0" vertical="center" wrapText="1"/>
    </xf>
    <xf borderId="4" fillId="6" fontId="2" numFmtId="10" xfId="0" applyAlignment="1" applyBorder="1" applyFont="1" applyNumberFormat="1">
      <alignment horizontal="center" shrinkToFit="0" vertical="center" wrapText="1"/>
    </xf>
    <xf borderId="4" fillId="7" fontId="2" numFmtId="0" xfId="0" applyAlignment="1" applyBorder="1" applyFont="1">
      <alignment horizontal="center" shrinkToFit="0" vertical="top" wrapText="1"/>
    </xf>
    <xf borderId="4" fillId="7" fontId="14" numFmtId="10" xfId="0" applyAlignment="1" applyBorder="1" applyFont="1" applyNumberFormat="1">
      <alignment horizontal="center" shrinkToFit="0" vertical="center" wrapText="1"/>
    </xf>
    <xf borderId="4" fillId="0" fontId="2" numFmtId="0" xfId="0" applyAlignment="1" applyBorder="1" applyFont="1">
      <alignment horizontal="left" shrinkToFit="0" vertical="center" wrapText="1"/>
    </xf>
    <xf borderId="4" fillId="9" fontId="2" numFmtId="9" xfId="0" applyAlignment="1" applyBorder="1" applyFont="1" applyNumberFormat="1">
      <alignment horizontal="center" shrinkToFit="0" vertical="center" wrapText="1"/>
    </xf>
    <xf borderId="4" fillId="0" fontId="2" numFmtId="10" xfId="0" applyAlignment="1" applyBorder="1" applyFont="1" applyNumberFormat="1">
      <alignment horizontal="center" vertical="center"/>
    </xf>
    <xf borderId="4" fillId="0" fontId="12" numFmtId="0" xfId="0" applyAlignment="1" applyBorder="1" applyFont="1">
      <alignment horizontal="center" vertical="center"/>
    </xf>
    <xf borderId="4" fillId="0" fontId="2" numFmtId="3" xfId="0" applyAlignment="1" applyBorder="1" applyFont="1" applyNumberFormat="1">
      <alignment horizontal="center" vertical="center"/>
    </xf>
    <xf borderId="4" fillId="7" fontId="10" numFmtId="3" xfId="0" applyAlignment="1" applyBorder="1" applyFont="1" applyNumberFormat="1">
      <alignment horizontal="center" vertical="center"/>
    </xf>
    <xf borderId="4" fillId="6" fontId="6" numFmtId="10" xfId="0" applyAlignment="1" applyBorder="1" applyFont="1" applyNumberFormat="1">
      <alignment horizontal="center" shrinkToFit="0" vertical="center" wrapText="1"/>
    </xf>
    <xf borderId="4" fillId="7" fontId="17" numFmtId="3" xfId="0" applyAlignment="1" applyBorder="1" applyFont="1" applyNumberFormat="1">
      <alignment horizontal="center" shrinkToFit="0" vertical="center" wrapText="1"/>
    </xf>
    <xf borderId="4" fillId="6" fontId="2" numFmtId="3" xfId="0" applyAlignment="1" applyBorder="1" applyFont="1" applyNumberFormat="1">
      <alignment horizontal="center" vertical="center"/>
    </xf>
    <xf borderId="4" fillId="7" fontId="2" numFmtId="3" xfId="0" applyAlignment="1" applyBorder="1" applyFont="1" applyNumberFormat="1">
      <alignment horizontal="center" vertical="center"/>
    </xf>
    <xf borderId="4" fillId="7" fontId="2" numFmtId="10" xfId="0" applyAlignment="1" applyBorder="1" applyFont="1" applyNumberFormat="1">
      <alignment horizontal="center" vertical="center"/>
    </xf>
    <xf borderId="4" fillId="0" fontId="15" numFmtId="0" xfId="0" applyAlignment="1" applyBorder="1" applyFont="1">
      <alignment horizontal="center" shrinkToFit="0" vertical="center" wrapText="1"/>
    </xf>
    <xf borderId="4" fillId="8" fontId="13" numFmtId="0" xfId="0" applyAlignment="1" applyBorder="1" applyFont="1">
      <alignment horizontal="center" shrinkToFit="0" vertical="center" wrapText="1"/>
    </xf>
    <xf borderId="4" fillId="8" fontId="17" numFmtId="10" xfId="0" applyAlignment="1" applyBorder="1" applyFont="1" applyNumberFormat="1">
      <alignment horizontal="left" shrinkToFit="0" vertical="center" wrapText="1"/>
    </xf>
    <xf borderId="4" fillId="6" fontId="2" numFmtId="0" xfId="0" applyAlignment="1" applyBorder="1" applyFont="1">
      <alignment horizontal="center" shrinkToFit="0" vertical="center" wrapText="1"/>
    </xf>
    <xf borderId="4" fillId="7" fontId="2" numFmtId="10" xfId="0" applyAlignment="1" applyBorder="1" applyFont="1" applyNumberFormat="1">
      <alignment horizontal="center" shrinkToFit="0" vertical="center" wrapText="1"/>
    </xf>
    <xf borderId="4" fillId="0" fontId="19" numFmtId="0" xfId="0" applyAlignment="1" applyBorder="1" applyFont="1">
      <alignment horizontal="center" shrinkToFit="0" vertical="center" wrapText="1"/>
    </xf>
    <xf borderId="4" fillId="9" fontId="2" numFmtId="0" xfId="0" applyAlignment="1" applyBorder="1" applyFont="1">
      <alignment horizontal="center" vertical="center"/>
    </xf>
    <xf borderId="4" fillId="7" fontId="2" numFmtId="0" xfId="0" applyAlignment="1" applyBorder="1" applyFont="1">
      <alignment horizontal="center" vertical="center"/>
    </xf>
    <xf borderId="4" fillId="8" fontId="6" numFmtId="0" xfId="0" applyAlignment="1" applyBorder="1" applyFont="1">
      <alignment horizontal="center" vertical="center"/>
    </xf>
    <xf borderId="4" fillId="0" fontId="6" numFmtId="0" xfId="0" applyAlignment="1" applyBorder="1" applyFont="1">
      <alignment horizontal="center" vertical="center"/>
    </xf>
    <xf borderId="4" fillId="6" fontId="6" numFmtId="0" xfId="0" applyAlignment="1" applyBorder="1" applyFont="1">
      <alignment horizontal="center" shrinkToFit="0" vertical="center" wrapText="1"/>
    </xf>
    <xf borderId="4" fillId="8" fontId="6" numFmtId="0" xfId="0" applyAlignment="1" applyBorder="1" applyFont="1">
      <alignment horizontal="center" shrinkToFit="0" vertical="center" wrapText="1"/>
    </xf>
    <xf borderId="4" fillId="8" fontId="5" numFmtId="0" xfId="0" applyAlignment="1" applyBorder="1" applyFont="1">
      <alignment horizontal="center" shrinkToFit="0" vertical="center" wrapText="1"/>
    </xf>
    <xf borderId="2" fillId="0" fontId="2" numFmtId="0" xfId="0" applyAlignment="1" applyBorder="1" applyFont="1">
      <alignment horizontal="center" shrinkToFit="0" vertical="center" wrapText="1"/>
    </xf>
    <xf borderId="2" fillId="8" fontId="5" numFmtId="0" xfId="0" applyAlignment="1" applyBorder="1" applyFont="1">
      <alignment horizontal="left" shrinkToFit="0" vertical="center" wrapText="1"/>
    </xf>
    <xf borderId="4" fillId="8" fontId="20" numFmtId="0" xfId="0" applyAlignment="1" applyBorder="1" applyFont="1">
      <alignment horizontal="center" shrinkToFit="0" vertical="center" wrapText="1"/>
    </xf>
    <xf borderId="4" fillId="10" fontId="9" numFmtId="0" xfId="0" applyAlignment="1" applyBorder="1" applyFill="1" applyFont="1">
      <alignment shrinkToFit="0" vertical="center" wrapText="1"/>
    </xf>
    <xf borderId="4" fillId="9" fontId="12" numFmtId="0" xfId="0" applyAlignment="1" applyBorder="1" applyFont="1">
      <alignment horizontal="center" vertical="center"/>
    </xf>
    <xf borderId="4" fillId="0" fontId="2" numFmtId="165" xfId="0" applyAlignment="1" applyBorder="1" applyFont="1" applyNumberFormat="1">
      <alignment horizontal="center" shrinkToFit="0" vertical="center" wrapText="1"/>
    </xf>
    <xf borderId="4" fillId="8" fontId="15" numFmtId="0" xfId="0" applyAlignment="1" applyBorder="1" applyFont="1">
      <alignment horizontal="center" vertical="center"/>
    </xf>
    <xf borderId="4" fillId="8" fontId="2" numFmtId="3" xfId="0" applyAlignment="1" applyBorder="1" applyFont="1" applyNumberFormat="1">
      <alignment horizontal="center" shrinkToFit="0" vertical="center" wrapText="1"/>
    </xf>
    <xf borderId="4" fillId="8" fontId="17" numFmtId="0" xfId="0" applyAlignment="1" applyBorder="1" applyFont="1">
      <alignment horizontal="left" shrinkToFit="0" vertical="center" wrapText="1"/>
    </xf>
    <xf borderId="4" fillId="7" fontId="2" numFmtId="0" xfId="0" applyAlignment="1" applyBorder="1" applyFont="1">
      <alignment horizontal="center" shrinkToFit="0" vertical="center" wrapText="1"/>
    </xf>
    <xf borderId="4" fillId="6" fontId="5" numFmtId="0" xfId="0" applyAlignment="1" applyBorder="1" applyFont="1">
      <alignment horizontal="center" shrinkToFit="0" vertical="center" wrapText="1"/>
    </xf>
    <xf borderId="4" fillId="8" fontId="2" numFmtId="0" xfId="0" applyAlignment="1" applyBorder="1" applyFont="1">
      <alignment horizontal="center" vertical="center"/>
    </xf>
    <xf borderId="4" fillId="0" fontId="14" numFmtId="165" xfId="0" applyAlignment="1" applyBorder="1" applyFont="1" applyNumberFormat="1">
      <alignment horizontal="left" shrinkToFit="0" vertical="center" wrapText="1"/>
    </xf>
    <xf borderId="4" fillId="8" fontId="14" numFmtId="0" xfId="0" applyAlignment="1" applyBorder="1" applyFont="1">
      <alignment horizontal="left" shrinkToFit="0" vertical="center" wrapText="1"/>
    </xf>
    <xf borderId="4" fillId="8" fontId="14" numFmtId="0" xfId="0" applyAlignment="1" applyBorder="1" applyFont="1">
      <alignment horizontal="center" shrinkToFit="0" vertical="center" wrapText="1"/>
    </xf>
    <xf borderId="4" fillId="0" fontId="2" numFmtId="166" xfId="0" applyAlignment="1" applyBorder="1" applyFont="1" applyNumberFormat="1">
      <alignment horizontal="center" shrinkToFit="0" vertical="center" wrapText="1"/>
    </xf>
    <xf borderId="4" fillId="8" fontId="2" numFmtId="0" xfId="0" applyAlignment="1" applyBorder="1" applyFont="1">
      <alignment horizontal="center" shrinkToFit="0" vertical="center" wrapText="1"/>
    </xf>
    <xf borderId="2" fillId="8" fontId="2" numFmtId="0" xfId="0" applyAlignment="1" applyBorder="1" applyFont="1">
      <alignment horizontal="left" shrinkToFit="0" vertical="center" wrapText="1"/>
    </xf>
    <xf borderId="4" fillId="7" fontId="21" numFmtId="0" xfId="0" applyAlignment="1" applyBorder="1" applyFont="1">
      <alignment horizontal="center" shrinkToFit="0" vertical="center" wrapText="1"/>
    </xf>
    <xf borderId="4" fillId="9" fontId="11" numFmtId="0" xfId="0" applyAlignment="1" applyBorder="1" applyFont="1">
      <alignment shrinkToFit="0" vertical="center" wrapText="1"/>
    </xf>
    <xf borderId="2" fillId="11" fontId="14" numFmtId="166" xfId="0" applyAlignment="1" applyBorder="1" applyFill="1" applyFont="1" applyNumberFormat="1">
      <alignment horizontal="center" shrinkToFit="0" vertical="center" wrapText="1"/>
    </xf>
    <xf borderId="25" fillId="0" fontId="4" numFmtId="0" xfId="0" applyAlignment="1" applyBorder="1" applyFont="1">
      <alignment vertical="center"/>
    </xf>
    <xf borderId="4" fillId="7" fontId="10" numFmtId="0" xfId="0" applyAlignment="1" applyBorder="1" applyFont="1">
      <alignment horizontal="center" vertical="center"/>
    </xf>
    <xf borderId="4" fillId="0" fontId="2" numFmtId="49" xfId="0" applyAlignment="1" applyBorder="1" applyFont="1" applyNumberFormat="1">
      <alignment horizontal="center" shrinkToFit="0" vertical="center" wrapText="1"/>
    </xf>
    <xf borderId="24" fillId="7" fontId="10" numFmtId="0" xfId="0" applyAlignment="1" applyBorder="1" applyFont="1">
      <alignment horizontal="center" shrinkToFit="0" vertical="center" wrapText="1"/>
    </xf>
    <xf borderId="2" fillId="8" fontId="2" numFmtId="0" xfId="0" applyAlignment="1" applyBorder="1" applyFont="1">
      <alignment horizontal="left" vertical="center"/>
    </xf>
    <xf borderId="26" fillId="8" fontId="10" numFmtId="0" xfId="0" applyAlignment="1" applyBorder="1" applyFont="1">
      <alignment horizontal="center" shrinkToFit="0" vertical="center" wrapText="1"/>
    </xf>
    <xf borderId="24" fillId="6" fontId="14" numFmtId="0" xfId="0" applyAlignment="1" applyBorder="1" applyFont="1">
      <alignment horizontal="left" shrinkToFit="0" vertical="center" wrapText="1"/>
    </xf>
    <xf borderId="5" fillId="8" fontId="2" numFmtId="0" xfId="0" applyAlignment="1" applyBorder="1" applyFont="1">
      <alignment horizontal="center" shrinkToFit="0" vertical="center" wrapText="1"/>
    </xf>
    <xf borderId="5" fillId="9" fontId="2" numFmtId="0" xfId="0" applyAlignment="1" applyBorder="1" applyFont="1">
      <alignment horizontal="center" shrinkToFit="0" vertical="center" wrapText="1"/>
    </xf>
    <xf borderId="20" fillId="8" fontId="2" numFmtId="0" xfId="0" applyAlignment="1" applyBorder="1" applyFont="1">
      <alignment horizontal="left" shrinkToFit="0" vertical="center" wrapText="1"/>
    </xf>
    <xf borderId="4" fillId="0" fontId="5" numFmtId="165" xfId="0" applyAlignment="1" applyBorder="1" applyFont="1" applyNumberFormat="1">
      <alignment horizontal="center" shrinkToFit="0" vertical="center" wrapText="1"/>
    </xf>
    <xf borderId="4" fillId="6" fontId="6" numFmtId="3" xfId="0" applyAlignment="1" applyBorder="1" applyFont="1" applyNumberFormat="1">
      <alignment horizontal="center" shrinkToFit="0" vertical="center" wrapText="1"/>
    </xf>
    <xf borderId="4" fillId="8" fontId="22" numFmtId="0" xfId="0" applyAlignment="1" applyBorder="1" applyFont="1">
      <alignment horizontal="center" shrinkToFit="0" vertical="center" wrapText="1"/>
    </xf>
    <xf borderId="11" fillId="0" fontId="2" numFmtId="0" xfId="0" applyAlignment="1" applyBorder="1" applyFont="1">
      <alignment horizontal="left" vertical="center"/>
    </xf>
    <xf borderId="4" fillId="0" fontId="6" numFmtId="165" xfId="0" applyAlignment="1" applyBorder="1" applyFont="1" applyNumberFormat="1">
      <alignment horizontal="left" shrinkToFit="0" vertical="center" wrapText="1"/>
    </xf>
    <xf borderId="24" fillId="8" fontId="10" numFmtId="0" xfId="0" applyAlignment="1" applyBorder="1" applyFont="1">
      <alignment horizontal="center" shrinkToFit="0" vertical="center" wrapText="1"/>
    </xf>
    <xf borderId="24" fillId="8" fontId="22" numFmtId="0" xfId="0" applyAlignment="1" applyBorder="1" applyFont="1">
      <alignment horizontal="center" shrinkToFit="0" vertical="center" wrapText="1"/>
    </xf>
    <xf borderId="2" fillId="0" fontId="2" numFmtId="0" xfId="0" applyAlignment="1" applyBorder="1" applyFont="1">
      <alignment horizontal="center" shrinkToFit="0" vertical="top" wrapText="1"/>
    </xf>
    <xf borderId="4" fillId="6" fontId="5" numFmtId="0" xfId="0" applyAlignment="1" applyBorder="1" applyFont="1">
      <alignment horizontal="center" vertical="center"/>
    </xf>
    <xf borderId="4" fillId="12" fontId="23" numFmtId="0" xfId="0" applyAlignment="1" applyBorder="1" applyFill="1" applyFont="1">
      <alignment horizontal="center" shrinkToFit="0" vertical="center" wrapText="1"/>
    </xf>
    <xf borderId="4" fillId="9" fontId="6" numFmtId="166" xfId="0" applyAlignment="1" applyBorder="1" applyFont="1" applyNumberFormat="1">
      <alignment horizontal="center" shrinkToFit="0" vertical="center" wrapText="1"/>
    </xf>
    <xf borderId="5" fillId="7" fontId="2" numFmtId="0" xfId="0" applyAlignment="1" applyBorder="1" applyFont="1">
      <alignment horizontal="center" vertical="center"/>
    </xf>
    <xf borderId="24" fillId="8" fontId="10" numFmtId="10" xfId="0" applyAlignment="1" applyBorder="1" applyFont="1" applyNumberFormat="1">
      <alignment horizontal="center" shrinkToFit="0" vertical="center" wrapText="1"/>
    </xf>
    <xf borderId="1" fillId="7" fontId="6" numFmtId="165" xfId="0" applyAlignment="1" applyBorder="1" applyFont="1" applyNumberFormat="1">
      <alignment horizontal="center" shrinkToFit="0" vertical="center" wrapText="1"/>
    </xf>
    <xf borderId="23" fillId="7" fontId="2" numFmtId="0" xfId="0" applyAlignment="1" applyBorder="1" applyFont="1">
      <alignment horizontal="center" vertical="center"/>
    </xf>
    <xf borderId="4" fillId="8" fontId="14" numFmtId="10" xfId="0" applyAlignment="1" applyBorder="1" applyFont="1" applyNumberFormat="1">
      <alignment horizontal="center" shrinkToFit="0" vertical="center" wrapText="1"/>
    </xf>
    <xf borderId="4" fillId="0" fontId="6" numFmtId="0" xfId="0" applyAlignment="1" applyBorder="1" applyFont="1">
      <alignment horizontal="center" shrinkToFit="0" vertical="center" wrapText="1"/>
    </xf>
    <xf borderId="4" fillId="9" fontId="6" numFmtId="0" xfId="0" applyAlignment="1" applyBorder="1" applyFont="1">
      <alignment horizontal="center" shrinkToFit="0" vertical="center" wrapText="1"/>
    </xf>
    <xf borderId="4" fillId="7" fontId="10" numFmtId="0" xfId="0" applyAlignment="1" applyBorder="1" applyFont="1">
      <alignment horizontal="center" shrinkToFit="0" vertical="center" wrapText="1"/>
    </xf>
    <xf borderId="4" fillId="6" fontId="14" numFmtId="3" xfId="0" applyAlignment="1" applyBorder="1" applyFont="1" applyNumberFormat="1">
      <alignment horizontal="left" shrinkToFit="0" vertical="center" wrapText="1"/>
    </xf>
    <xf borderId="1" fillId="0" fontId="14" numFmtId="165" xfId="0" applyAlignment="1" applyBorder="1" applyFont="1" applyNumberFormat="1">
      <alignment horizontal="left" shrinkToFit="0" vertical="center" wrapText="1"/>
    </xf>
    <xf borderId="27" fillId="12" fontId="2" numFmtId="0" xfId="0" applyAlignment="1" applyBorder="1" applyFont="1">
      <alignment shrinkToFit="0" vertical="top" wrapText="1"/>
    </xf>
    <xf borderId="20" fillId="12" fontId="2" numFmtId="0" xfId="0" applyAlignment="1" applyBorder="1" applyFont="1">
      <alignment horizontal="left" shrinkToFit="0" vertical="center" wrapText="1"/>
    </xf>
    <xf borderId="1" fillId="0" fontId="2" numFmtId="0" xfId="0" applyAlignment="1" applyBorder="1" applyFont="1">
      <alignment shrinkToFit="0" vertical="center" wrapText="1"/>
    </xf>
    <xf borderId="4" fillId="0" fontId="14" numFmtId="0" xfId="0" applyAlignment="1" applyBorder="1" applyFont="1">
      <alignment shrinkToFit="0" vertical="top" wrapText="1"/>
    </xf>
    <xf borderId="5" fillId="13" fontId="24" numFmtId="0" xfId="0" applyAlignment="1" applyBorder="1" applyFill="1" applyFont="1">
      <alignment horizontal="left" shrinkToFit="0" vertical="center" wrapText="1"/>
    </xf>
    <xf borderId="4" fillId="9" fontId="9" numFmtId="0" xfId="0" applyAlignment="1" applyBorder="1" applyFont="1">
      <alignment shrinkToFit="0" vertical="center" wrapText="1"/>
    </xf>
    <xf borderId="4" fillId="7" fontId="14" numFmtId="0" xfId="0" applyAlignment="1" applyBorder="1" applyFont="1">
      <alignment horizontal="center" shrinkToFit="0" vertical="center" wrapText="1"/>
    </xf>
    <xf borderId="4" fillId="8" fontId="8" numFmtId="0" xfId="0" applyAlignment="1" applyBorder="1" applyFont="1">
      <alignment vertical="center"/>
    </xf>
    <xf borderId="0" fillId="0" fontId="25" numFmtId="0" xfId="0" applyAlignment="1" applyFont="1">
      <alignment vertical="center"/>
    </xf>
    <xf borderId="0" fillId="0" fontId="8" numFmtId="0" xfId="0" applyAlignment="1" applyFont="1">
      <alignment horizontal="center" vertical="center"/>
    </xf>
    <xf borderId="4" fillId="12" fontId="2" numFmtId="165" xfId="0" applyAlignment="1" applyBorder="1" applyFont="1" applyNumberFormat="1">
      <alignment horizontal="left" shrinkToFit="0" vertical="center" wrapText="1"/>
    </xf>
    <xf borderId="0" fillId="0" fontId="26" numFmtId="0" xfId="0" applyAlignment="1" applyFont="1">
      <alignment vertical="center"/>
    </xf>
    <xf borderId="0" fillId="0" fontId="27" numFmtId="0" xfId="0" applyAlignment="1" applyFont="1">
      <alignment vertical="center"/>
    </xf>
    <xf borderId="3" fillId="0" fontId="6" numFmtId="0" xfId="0" applyAlignment="1" applyBorder="1" applyFont="1">
      <alignment horizontal="center" shrinkToFit="0" vertical="center" wrapText="1"/>
    </xf>
    <xf borderId="2" fillId="8" fontId="9" numFmtId="0" xfId="0" applyAlignment="1" applyBorder="1" applyFont="1">
      <alignment horizontal="center" shrinkToFit="0" vertical="center" wrapText="1"/>
    </xf>
    <xf borderId="24" fillId="6" fontId="14" numFmtId="3" xfId="0" applyAlignment="1" applyBorder="1" applyFont="1" applyNumberFormat="1">
      <alignment horizontal="left" shrinkToFit="0" vertical="center" wrapText="1"/>
    </xf>
    <xf borderId="28" fillId="7" fontId="8" numFmtId="0" xfId="0" applyAlignment="1" applyBorder="1" applyFont="1">
      <alignment horizontal="center" vertical="center"/>
    </xf>
    <xf borderId="4" fillId="3" fontId="14" numFmtId="0" xfId="0" applyAlignment="1" applyBorder="1" applyFont="1">
      <alignment horizontal="center" shrinkToFit="0" vertical="center" wrapText="1"/>
    </xf>
    <xf borderId="4" fillId="7" fontId="17" numFmtId="0" xfId="0" applyAlignment="1" applyBorder="1" applyFont="1">
      <alignment horizontal="center" shrinkToFit="0" vertical="center" wrapText="1"/>
    </xf>
    <xf borderId="5" fillId="7" fontId="2" numFmtId="3" xfId="0" applyAlignment="1" applyBorder="1" applyFont="1" applyNumberFormat="1">
      <alignment horizontal="center" shrinkToFit="0" vertical="center" wrapText="1"/>
    </xf>
    <xf borderId="4" fillId="9" fontId="6" numFmtId="0" xfId="0" applyAlignment="1" applyBorder="1" applyFont="1">
      <alignment horizontal="center" vertical="center"/>
    </xf>
    <xf borderId="27" fillId="7" fontId="2" numFmtId="3" xfId="0" applyAlignment="1" applyBorder="1" applyFont="1" applyNumberFormat="1">
      <alignment horizontal="center" shrinkToFit="0" vertical="center" wrapText="1"/>
    </xf>
    <xf borderId="27" fillId="7" fontId="2" numFmtId="0" xfId="0" applyAlignment="1" applyBorder="1" applyFont="1">
      <alignment horizontal="center" vertical="center"/>
    </xf>
    <xf borderId="4" fillId="0" fontId="2" numFmtId="0" xfId="0" applyAlignment="1" applyBorder="1" applyFont="1">
      <alignment horizontal="left" shrinkToFit="0" vertical="top" wrapText="1"/>
    </xf>
    <xf borderId="4" fillId="9" fontId="2" numFmtId="0" xfId="0" applyAlignment="1" applyBorder="1" applyFont="1">
      <alignment horizontal="left" shrinkToFit="0" vertical="top" wrapText="1"/>
    </xf>
    <xf borderId="4" fillId="7" fontId="2" numFmtId="0" xfId="0" applyAlignment="1" applyBorder="1" applyFont="1">
      <alignment horizontal="left" shrinkToFit="0" vertical="top" wrapText="1"/>
    </xf>
    <xf borderId="4" fillId="9" fontId="14" numFmtId="0" xfId="0" applyAlignment="1" applyBorder="1" applyFont="1">
      <alignment horizontal="center" shrinkToFit="0" vertical="center" wrapText="1"/>
    </xf>
    <xf borderId="4" fillId="6" fontId="14" numFmtId="0" xfId="0" applyAlignment="1" applyBorder="1" applyFont="1">
      <alignment horizontal="center" shrinkToFit="0" vertical="center" wrapText="1"/>
    </xf>
    <xf borderId="4" fillId="9" fontId="2" numFmtId="2" xfId="0" applyAlignment="1" applyBorder="1" applyFont="1" applyNumberFormat="1">
      <alignment horizontal="center" vertical="center"/>
    </xf>
    <xf borderId="4" fillId="7" fontId="2" numFmtId="2" xfId="0" applyAlignment="1" applyBorder="1" applyFont="1" applyNumberFormat="1">
      <alignment horizontal="center" vertical="center"/>
    </xf>
    <xf borderId="4" fillId="0" fontId="14" numFmtId="165" xfId="0" applyAlignment="1" applyBorder="1" applyFont="1" applyNumberFormat="1">
      <alignment horizontal="center" shrinkToFit="0" vertical="center" wrapText="1"/>
    </xf>
    <xf borderId="4" fillId="0" fontId="7" numFmtId="0" xfId="0" applyAlignment="1" applyBorder="1" applyFont="1">
      <alignment horizontal="center" shrinkToFit="0" vertical="center" wrapText="1"/>
    </xf>
    <xf borderId="4" fillId="0" fontId="14" numFmtId="166" xfId="0" applyAlignment="1" applyBorder="1" applyFont="1" applyNumberFormat="1">
      <alignment horizontal="center" shrinkToFit="0" vertical="center" wrapText="1"/>
    </xf>
    <xf borderId="4" fillId="0" fontId="6" numFmtId="166" xfId="0" applyAlignment="1" applyBorder="1" applyFont="1" applyNumberFormat="1">
      <alignment horizontal="center" shrinkToFit="0" vertical="center" wrapText="1"/>
    </xf>
    <xf borderId="24" fillId="6" fontId="14" numFmtId="0" xfId="0" applyAlignment="1" applyBorder="1" applyFont="1">
      <alignment horizontal="center" shrinkToFit="0" vertical="center" wrapText="1"/>
    </xf>
    <xf borderId="2" fillId="9" fontId="2" numFmtId="0" xfId="0" applyAlignment="1" applyBorder="1" applyFont="1">
      <alignment horizontal="center" shrinkToFit="0" vertical="center" wrapText="1"/>
    </xf>
    <xf borderId="28" fillId="7" fontId="2" numFmtId="0" xfId="0" applyAlignment="1" applyBorder="1" applyFont="1">
      <alignment horizontal="center" shrinkToFit="0" vertical="center" wrapText="1"/>
    </xf>
    <xf borderId="2" fillId="7" fontId="9" numFmtId="0" xfId="0" applyAlignment="1" applyBorder="1" applyFont="1">
      <alignment horizontal="center" shrinkToFit="0" vertical="center" wrapText="1"/>
    </xf>
    <xf borderId="2" fillId="5" fontId="13" numFmtId="0" xfId="0" applyAlignment="1" applyBorder="1" applyFont="1">
      <alignment horizontal="center" shrinkToFit="0" vertical="center" wrapText="1"/>
    </xf>
    <xf borderId="4" fillId="0" fontId="20" numFmtId="0" xfId="0" applyAlignment="1" applyBorder="1" applyFont="1">
      <alignment horizontal="left" shrinkToFit="0" vertical="center" wrapText="1"/>
    </xf>
    <xf borderId="2" fillId="9" fontId="6" numFmtId="0" xfId="0" applyAlignment="1" applyBorder="1" applyFont="1">
      <alignment horizontal="center" shrinkToFit="0" vertical="center" wrapText="1"/>
    </xf>
    <xf borderId="2" fillId="9" fontId="2" numFmtId="0" xfId="0" applyAlignment="1" applyBorder="1" applyFont="1">
      <alignment horizontal="center" vertical="center"/>
    </xf>
    <xf borderId="28" fillId="7" fontId="2" numFmtId="0" xfId="0" applyAlignment="1" applyBorder="1" applyFont="1">
      <alignment horizontal="center" vertical="center"/>
    </xf>
    <xf borderId="2" fillId="5" fontId="9" numFmtId="0" xfId="0" applyAlignment="1" applyBorder="1" applyFont="1">
      <alignment horizontal="center" shrinkToFit="0" vertical="center" wrapText="1"/>
    </xf>
    <xf borderId="4" fillId="0" fontId="14" numFmtId="0" xfId="0" applyAlignment="1" applyBorder="1" applyFont="1">
      <alignment shrinkToFit="0" vertical="center" wrapText="1"/>
    </xf>
    <xf borderId="2" fillId="9" fontId="28" numFmtId="0" xfId="0" applyAlignment="1" applyBorder="1" applyFont="1">
      <alignment horizontal="center" shrinkToFit="0" vertical="top" wrapText="1"/>
    </xf>
    <xf borderId="2" fillId="9" fontId="2" numFmtId="0" xfId="0" applyAlignment="1" applyBorder="1" applyFont="1">
      <alignment horizontal="center" shrinkToFit="0" vertical="top" wrapText="1"/>
    </xf>
    <xf borderId="28" fillId="7" fontId="2" numFmtId="0" xfId="0" applyAlignment="1" applyBorder="1" applyFont="1">
      <alignment horizontal="center" shrinkToFit="0" vertical="top" wrapText="1"/>
    </xf>
    <xf borderId="2" fillId="14" fontId="29" numFmtId="0" xfId="0" applyAlignment="1" applyBorder="1" applyFill="1" applyFont="1">
      <alignment horizontal="center" vertical="center"/>
    </xf>
    <xf borderId="28" fillId="14" fontId="2" numFmtId="0" xfId="0" applyAlignment="1" applyBorder="1" applyFont="1">
      <alignment horizontal="center" vertical="center"/>
    </xf>
    <xf borderId="10" fillId="0" fontId="2" numFmtId="0" xfId="0" applyAlignment="1" applyBorder="1" applyFont="1">
      <alignment horizontal="center" shrinkToFit="0" vertical="center" wrapText="1"/>
    </xf>
    <xf borderId="4" fillId="13" fontId="12" numFmtId="0" xfId="0" applyAlignment="1" applyBorder="1" applyFont="1">
      <alignment horizontal="center" shrinkToFit="0" vertical="center" wrapText="1"/>
    </xf>
    <xf borderId="4" fillId="10" fontId="2" numFmtId="0" xfId="0" applyAlignment="1" applyBorder="1" applyFont="1">
      <alignment horizontal="center" shrinkToFit="0" vertical="center" wrapText="1"/>
    </xf>
    <xf borderId="1" fillId="10" fontId="2" numFmtId="0" xfId="0" applyAlignment="1" applyBorder="1" applyFont="1">
      <alignment horizontal="center" shrinkToFit="0" vertical="center" wrapText="1"/>
    </xf>
    <xf borderId="29" fillId="3" fontId="3" numFmtId="0" xfId="0" applyAlignment="1" applyBorder="1" applyFont="1">
      <alignment horizontal="center" shrinkToFit="0" vertical="center" wrapText="1"/>
    </xf>
    <xf borderId="4" fillId="9" fontId="6" numFmtId="0" xfId="0" applyAlignment="1" applyBorder="1" applyFont="1">
      <alignment horizontal="center" shrinkToFit="0" vertical="top" wrapText="1"/>
    </xf>
    <xf borderId="2" fillId="11" fontId="9" numFmtId="0" xfId="0" applyAlignment="1" applyBorder="1" applyFont="1">
      <alignment horizontal="center" shrinkToFit="0" vertical="center" wrapText="1"/>
    </xf>
    <xf borderId="2" fillId="0" fontId="2" numFmtId="0" xfId="0" applyAlignment="1" applyBorder="1" applyFont="1">
      <alignment horizontal="left" shrinkToFit="0" vertical="top" wrapText="1"/>
    </xf>
    <xf borderId="30" fillId="3" fontId="3" numFmtId="0" xfId="0" applyAlignment="1" applyBorder="1" applyFont="1">
      <alignment horizontal="center" shrinkToFit="0" vertical="center" wrapText="1"/>
    </xf>
    <xf borderId="2" fillId="9" fontId="2" numFmtId="49" xfId="0" applyAlignment="1" applyBorder="1" applyFont="1" applyNumberFormat="1">
      <alignment horizontal="center" shrinkToFit="0" vertical="center" wrapText="1"/>
    </xf>
    <xf borderId="2" fillId="9" fontId="2" numFmtId="9" xfId="0" applyAlignment="1" applyBorder="1" applyFont="1" applyNumberFormat="1">
      <alignment horizontal="center" shrinkToFit="0" vertical="center" wrapText="1"/>
    </xf>
    <xf borderId="28" fillId="7" fontId="2" numFmtId="49" xfId="0" applyAlignment="1" applyBorder="1" applyFont="1" applyNumberFormat="1">
      <alignment horizontal="center" shrinkToFit="0" vertical="center" wrapText="1"/>
    </xf>
    <xf borderId="31" fillId="3" fontId="3" numFmtId="0" xfId="0" applyAlignment="1" applyBorder="1" applyFont="1">
      <alignment horizontal="center" shrinkToFit="0" vertical="center" wrapText="1"/>
    </xf>
    <xf borderId="0" fillId="0" fontId="30" numFmtId="0" xfId="0" applyAlignment="1" applyFont="1">
      <alignment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1.22" defaultRowHeight="15.0"/>
  <cols>
    <col customWidth="1" min="1" max="2" width="6.78"/>
    <col customWidth="1" min="3" max="3" width="3.44"/>
    <col customWidth="1" min="4" max="4" width="32.44"/>
    <col customWidth="1" min="5" max="6" width="4.22"/>
    <col customWidth="1" hidden="1" min="7" max="7" width="26.0"/>
    <col customWidth="1" hidden="1" min="8" max="8" width="24.56"/>
    <col customWidth="1" hidden="1" min="9" max="9" width="21.22"/>
    <col customWidth="1" hidden="1" min="10" max="12" width="24.56"/>
    <col customWidth="1" hidden="1" min="13" max="13" width="51.78"/>
    <col customWidth="1" min="14" max="14" width="51.78"/>
    <col customWidth="1" min="15" max="15" width="36.56"/>
    <col customWidth="1" hidden="1" min="16" max="20" width="8.67"/>
    <col customWidth="1" min="21" max="22" width="12.11"/>
    <col customWidth="1" hidden="1" min="23" max="25" width="8.67"/>
    <col customWidth="1" hidden="1" min="26" max="26" width="16.89"/>
    <col customWidth="1" min="27" max="28" width="9.0"/>
    <col customWidth="1" min="29" max="29" width="8.44"/>
    <col customWidth="1" min="30" max="31" width="6.78"/>
    <col customWidth="1" min="32" max="32" width="15.33"/>
    <col customWidth="1" min="33" max="33" width="34.44"/>
    <col customWidth="1" min="34" max="35" width="6.78"/>
  </cols>
  <sheetData>
    <row r="1" ht="30.0" customHeight="1">
      <c r="A1" s="2" t="s">
        <v>1</v>
      </c>
      <c r="B1" s="4"/>
      <c r="C1" s="4"/>
      <c r="D1" s="4"/>
      <c r="E1" s="4"/>
      <c r="F1" s="4"/>
      <c r="G1" s="4"/>
      <c r="H1" s="4"/>
      <c r="I1" s="4"/>
      <c r="J1" s="4"/>
      <c r="K1" s="4"/>
      <c r="L1" s="4"/>
      <c r="M1" s="4"/>
      <c r="N1" s="4"/>
      <c r="O1" s="4"/>
      <c r="P1" s="4"/>
      <c r="Q1" s="4"/>
      <c r="R1" s="4"/>
      <c r="S1" s="4"/>
      <c r="T1" s="4"/>
      <c r="U1" s="4"/>
      <c r="V1" s="4"/>
      <c r="W1" s="4"/>
      <c r="X1" s="4"/>
      <c r="Y1" s="4"/>
      <c r="Z1" s="4"/>
      <c r="AA1" s="4"/>
      <c r="AB1" s="4"/>
      <c r="AC1" s="4"/>
      <c r="AD1" s="4"/>
      <c r="AE1" s="4"/>
      <c r="AF1" s="4"/>
      <c r="AG1" s="10"/>
      <c r="AH1" s="16"/>
      <c r="AI1" s="16"/>
    </row>
    <row r="2" ht="30.0" customHeight="1">
      <c r="A2" s="14" t="s">
        <v>14</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10"/>
      <c r="AH2" s="16"/>
      <c r="AI2" s="16"/>
    </row>
    <row r="3" ht="30.0" customHeight="1">
      <c r="A3" s="22" t="s">
        <v>18</v>
      </c>
      <c r="B3" s="24"/>
      <c r="C3" s="30" t="s">
        <v>31</v>
      </c>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4"/>
      <c r="AH3" s="16"/>
      <c r="AI3" s="16"/>
    </row>
    <row r="4" ht="30.0" customHeight="1">
      <c r="A4" s="33"/>
      <c r="B4" s="34"/>
      <c r="C4" s="33"/>
      <c r="AG4" s="34"/>
      <c r="AH4" s="16"/>
      <c r="AI4" s="16"/>
    </row>
    <row r="5" ht="30.0" customHeight="1">
      <c r="A5" s="33"/>
      <c r="B5" s="34"/>
      <c r="C5" s="33"/>
      <c r="AG5" s="34"/>
      <c r="AH5" s="16"/>
      <c r="AI5" s="16"/>
    </row>
    <row r="6" ht="30.0" customHeight="1">
      <c r="A6" s="33"/>
      <c r="B6" s="34"/>
      <c r="C6" s="33"/>
      <c r="AG6" s="34"/>
      <c r="AH6" s="16"/>
      <c r="AI6" s="16"/>
    </row>
    <row r="7" ht="30.0" customHeight="1">
      <c r="A7" s="35"/>
      <c r="B7" s="36"/>
      <c r="C7" s="35"/>
      <c r="D7" s="37"/>
      <c r="E7" s="37"/>
      <c r="F7" s="37"/>
      <c r="G7" s="37"/>
      <c r="H7" s="37"/>
      <c r="I7" s="37"/>
      <c r="J7" s="37"/>
      <c r="K7" s="37"/>
      <c r="L7" s="37"/>
      <c r="M7" s="37"/>
      <c r="N7" s="37"/>
      <c r="O7" s="37"/>
      <c r="P7" s="37"/>
      <c r="Q7" s="37"/>
      <c r="R7" s="37"/>
      <c r="S7" s="37"/>
      <c r="T7" s="37"/>
      <c r="U7" s="37"/>
      <c r="V7" s="37"/>
      <c r="W7" s="37"/>
      <c r="X7" s="37"/>
      <c r="Y7" s="37"/>
      <c r="Z7" s="37"/>
      <c r="AA7" s="37"/>
      <c r="AB7" s="37"/>
      <c r="AC7" s="37"/>
      <c r="AD7" s="37"/>
      <c r="AE7" s="37"/>
      <c r="AF7" s="37"/>
      <c r="AG7" s="36"/>
      <c r="AH7" s="16"/>
      <c r="AI7" s="16"/>
    </row>
    <row r="8" ht="21.0" customHeight="1">
      <c r="A8" s="8" t="s">
        <v>50</v>
      </c>
      <c r="B8" s="8" t="s">
        <v>52</v>
      </c>
      <c r="C8" s="38" t="s">
        <v>53</v>
      </c>
      <c r="D8" s="40"/>
      <c r="E8" s="40"/>
      <c r="F8" s="41"/>
      <c r="G8" s="42" t="s">
        <v>55</v>
      </c>
      <c r="H8" s="10"/>
      <c r="I8" s="42" t="s">
        <v>56</v>
      </c>
      <c r="J8" s="10"/>
      <c r="K8" s="43" t="s">
        <v>57</v>
      </c>
      <c r="L8" s="10"/>
      <c r="M8" s="43" t="s">
        <v>59</v>
      </c>
      <c r="N8" s="10"/>
      <c r="O8" s="45" t="s">
        <v>61</v>
      </c>
      <c r="P8" s="42" t="s">
        <v>64</v>
      </c>
      <c r="Q8" s="10"/>
      <c r="R8" s="42" t="s">
        <v>66</v>
      </c>
      <c r="S8" s="10"/>
      <c r="T8" s="42" t="s">
        <v>68</v>
      </c>
      <c r="U8" s="10"/>
      <c r="V8" s="42" t="s">
        <v>70</v>
      </c>
      <c r="W8" s="10"/>
      <c r="X8" s="42" t="s">
        <v>71</v>
      </c>
      <c r="Y8" s="10"/>
      <c r="Z8" s="48" t="s">
        <v>73</v>
      </c>
      <c r="AA8" s="8" t="s">
        <v>74</v>
      </c>
      <c r="AB8" s="49" t="s">
        <v>76</v>
      </c>
      <c r="AC8" s="8" t="s">
        <v>78</v>
      </c>
      <c r="AD8" s="8" t="s">
        <v>79</v>
      </c>
      <c r="AE8" s="8"/>
      <c r="AF8" s="8"/>
      <c r="AG8" s="49" t="s">
        <v>80</v>
      </c>
      <c r="AH8" s="16"/>
      <c r="AI8" s="16"/>
    </row>
    <row r="9" ht="30.0" customHeight="1">
      <c r="A9" s="8"/>
      <c r="B9" s="8"/>
      <c r="C9" s="50"/>
      <c r="D9" s="51" t="s">
        <v>3</v>
      </c>
      <c r="E9" s="8" t="s">
        <v>83</v>
      </c>
      <c r="F9" s="8" t="s">
        <v>84</v>
      </c>
      <c r="G9" s="8" t="s">
        <v>85</v>
      </c>
      <c r="H9" s="8" t="s">
        <v>86</v>
      </c>
      <c r="I9" s="8" t="s">
        <v>87</v>
      </c>
      <c r="J9" s="8" t="s">
        <v>89</v>
      </c>
      <c r="K9" s="52" t="s">
        <v>90</v>
      </c>
      <c r="L9" s="52" t="s">
        <v>91</v>
      </c>
      <c r="M9" s="52" t="s">
        <v>90</v>
      </c>
      <c r="N9" s="52" t="s">
        <v>91</v>
      </c>
      <c r="O9" s="54"/>
      <c r="P9" s="8" t="s">
        <v>87</v>
      </c>
      <c r="Q9" s="8" t="s">
        <v>89</v>
      </c>
      <c r="R9" s="8" t="s">
        <v>92</v>
      </c>
      <c r="S9" s="8" t="s">
        <v>93</v>
      </c>
      <c r="T9" s="8" t="s">
        <v>94</v>
      </c>
      <c r="U9" s="8" t="s">
        <v>95</v>
      </c>
      <c r="V9" s="8" t="s">
        <v>97</v>
      </c>
      <c r="W9" s="8" t="s">
        <v>98</v>
      </c>
      <c r="X9" s="8" t="s">
        <v>99</v>
      </c>
      <c r="Y9" s="8" t="s">
        <v>100</v>
      </c>
      <c r="Z9" s="56"/>
      <c r="AA9" s="8"/>
      <c r="AB9" s="57"/>
      <c r="AC9" s="8"/>
      <c r="AD9" s="8"/>
      <c r="AE9" s="8"/>
      <c r="AF9" s="8"/>
      <c r="AG9" s="57"/>
      <c r="AH9" s="16"/>
      <c r="AI9" s="16"/>
    </row>
    <row r="10" ht="30.0" customHeight="1">
      <c r="A10" s="3" t="s">
        <v>2</v>
      </c>
      <c r="B10" s="26" t="s">
        <v>103</v>
      </c>
      <c r="C10" s="59">
        <v>1.0</v>
      </c>
      <c r="D10" s="61" t="s">
        <v>104</v>
      </c>
      <c r="E10" s="62" t="s">
        <v>106</v>
      </c>
      <c r="F10" s="59"/>
      <c r="G10" s="63" t="s">
        <v>107</v>
      </c>
      <c r="H10" s="64" t="s">
        <v>108</v>
      </c>
      <c r="I10" s="59" t="s">
        <v>109</v>
      </c>
      <c r="J10" s="59" t="s">
        <v>110</v>
      </c>
      <c r="K10" s="65" t="s">
        <v>111</v>
      </c>
      <c r="L10" s="65" t="s">
        <v>112</v>
      </c>
      <c r="M10" s="65" t="s">
        <v>113</v>
      </c>
      <c r="N10" s="66" t="s">
        <v>114</v>
      </c>
      <c r="O10" s="67"/>
      <c r="P10" s="69">
        <v>600.0</v>
      </c>
      <c r="Q10" s="72">
        <v>1100.0</v>
      </c>
      <c r="R10" s="72">
        <v>690.0</v>
      </c>
      <c r="S10" s="72">
        <v>1400.0</v>
      </c>
      <c r="T10" s="72">
        <v>700.0</v>
      </c>
      <c r="U10" s="72">
        <v>1450.0</v>
      </c>
      <c r="V10" s="72">
        <v>710.0</v>
      </c>
      <c r="W10" s="72">
        <v>1480.0</v>
      </c>
      <c r="X10" s="72">
        <v>720.0</v>
      </c>
      <c r="Y10" s="72">
        <v>1500.0</v>
      </c>
      <c r="Z10" s="76"/>
      <c r="AA10" s="59" t="s">
        <v>119</v>
      </c>
      <c r="AB10" s="59" t="s">
        <v>120</v>
      </c>
      <c r="AC10" s="59" t="s">
        <v>121</v>
      </c>
      <c r="AD10" s="80" t="s">
        <v>122</v>
      </c>
      <c r="AE10" s="4"/>
      <c r="AF10" s="10"/>
      <c r="AG10" s="82"/>
      <c r="AH10" s="16"/>
      <c r="AI10" s="16"/>
    </row>
    <row r="11" ht="30.0" customHeight="1">
      <c r="A11" s="9"/>
      <c r="B11" s="9"/>
      <c r="C11" s="59">
        <v>2.0</v>
      </c>
      <c r="D11" s="61" t="s">
        <v>7</v>
      </c>
      <c r="E11" s="62" t="s">
        <v>106</v>
      </c>
      <c r="F11" s="59"/>
      <c r="G11" s="63">
        <v>83.0</v>
      </c>
      <c r="H11" s="72" t="s">
        <v>124</v>
      </c>
      <c r="I11" s="59" t="s">
        <v>126</v>
      </c>
      <c r="J11" s="59" t="s">
        <v>127</v>
      </c>
      <c r="K11" s="85" t="s">
        <v>129</v>
      </c>
      <c r="L11" s="85" t="s">
        <v>130</v>
      </c>
      <c r="M11" s="85" t="s">
        <v>131</v>
      </c>
      <c r="N11" s="87" t="s">
        <v>132</v>
      </c>
      <c r="O11" s="89" t="s">
        <v>133</v>
      </c>
      <c r="P11" s="63">
        <v>100.0</v>
      </c>
      <c r="Q11" s="63">
        <v>100.0</v>
      </c>
      <c r="R11" s="72">
        <v>2050.0</v>
      </c>
      <c r="S11" s="72">
        <v>2100.0</v>
      </c>
      <c r="T11" s="90" t="s">
        <v>136</v>
      </c>
      <c r="U11" s="90" t="s">
        <v>137</v>
      </c>
      <c r="V11" s="90" t="s">
        <v>138</v>
      </c>
      <c r="W11" s="90" t="s">
        <v>140</v>
      </c>
      <c r="X11" s="90" t="s">
        <v>141</v>
      </c>
      <c r="Y11" s="90" t="s">
        <v>142</v>
      </c>
      <c r="Z11" s="76"/>
      <c r="AA11" s="59" t="s">
        <v>143</v>
      </c>
      <c r="AB11" s="59" t="s">
        <v>120</v>
      </c>
      <c r="AC11" s="59" t="s">
        <v>145</v>
      </c>
      <c r="AD11" s="80"/>
      <c r="AE11" s="4"/>
      <c r="AF11" s="10"/>
      <c r="AG11" s="82" t="s">
        <v>133</v>
      </c>
      <c r="AH11" s="16"/>
      <c r="AI11" s="16"/>
    </row>
    <row r="12" ht="149.25" customHeight="1">
      <c r="A12" s="9"/>
      <c r="B12" s="21"/>
      <c r="C12" s="59">
        <v>3.0</v>
      </c>
      <c r="D12" s="61" t="s">
        <v>147</v>
      </c>
      <c r="E12" s="59"/>
      <c r="F12" s="62" t="s">
        <v>106</v>
      </c>
      <c r="G12" s="95" t="s">
        <v>148</v>
      </c>
      <c r="H12" s="95" t="s">
        <v>153</v>
      </c>
      <c r="I12" s="59" t="s">
        <v>154</v>
      </c>
      <c r="J12" s="59" t="s">
        <v>155</v>
      </c>
      <c r="K12" s="65" t="s">
        <v>156</v>
      </c>
      <c r="L12" s="65" t="s">
        <v>157</v>
      </c>
      <c r="M12" s="96" t="s">
        <v>158</v>
      </c>
      <c r="N12" s="65" t="s">
        <v>159</v>
      </c>
      <c r="O12" s="98"/>
      <c r="P12" s="100" t="s">
        <v>148</v>
      </c>
      <c r="Q12" s="100" t="s">
        <v>148</v>
      </c>
      <c r="R12" s="102" t="s">
        <v>148</v>
      </c>
      <c r="S12" s="102" t="s">
        <v>148</v>
      </c>
      <c r="T12" s="102" t="s">
        <v>148</v>
      </c>
      <c r="U12" s="102" t="s">
        <v>148</v>
      </c>
      <c r="V12" s="102" t="s">
        <v>148</v>
      </c>
      <c r="W12" s="102" t="s">
        <v>148</v>
      </c>
      <c r="X12" s="102" t="s">
        <v>148</v>
      </c>
      <c r="Y12" s="102" t="s">
        <v>148</v>
      </c>
      <c r="Z12" s="105"/>
      <c r="AA12" s="59" t="s">
        <v>150</v>
      </c>
      <c r="AB12" s="59" t="s">
        <v>120</v>
      </c>
      <c r="AC12" s="59" t="s">
        <v>165</v>
      </c>
      <c r="AD12" s="80"/>
      <c r="AE12" s="4"/>
      <c r="AF12" s="10"/>
      <c r="AG12" s="108"/>
      <c r="AH12" s="16"/>
      <c r="AI12" s="16"/>
    </row>
    <row r="13" ht="30.0" customHeight="1">
      <c r="A13" s="9"/>
      <c r="B13" s="26" t="s">
        <v>169</v>
      </c>
      <c r="C13" s="59">
        <v>1.0</v>
      </c>
      <c r="D13" s="61" t="s">
        <v>13</v>
      </c>
      <c r="E13" s="62" t="s">
        <v>106</v>
      </c>
      <c r="F13" s="11"/>
      <c r="G13" s="109" t="s">
        <v>170</v>
      </c>
      <c r="H13" s="68" t="s">
        <v>172</v>
      </c>
      <c r="I13" s="17" t="s">
        <v>174</v>
      </c>
      <c r="J13" s="59" t="s">
        <v>175</v>
      </c>
      <c r="K13" s="65" t="s">
        <v>176</v>
      </c>
      <c r="L13" s="65" t="s">
        <v>177</v>
      </c>
      <c r="M13" s="85" t="s">
        <v>178</v>
      </c>
      <c r="N13" s="66" t="s">
        <v>179</v>
      </c>
      <c r="O13" s="113"/>
      <c r="P13" s="74">
        <v>0.09</v>
      </c>
      <c r="Q13" s="74">
        <v>0.12</v>
      </c>
      <c r="R13" s="74">
        <v>0.3</v>
      </c>
      <c r="S13" s="74">
        <v>0.35</v>
      </c>
      <c r="T13" s="74">
        <v>0.4</v>
      </c>
      <c r="U13" s="74">
        <v>0.45</v>
      </c>
      <c r="V13" s="74">
        <v>0.5</v>
      </c>
      <c r="W13" s="74">
        <v>0.6</v>
      </c>
      <c r="X13" s="74">
        <v>0.8</v>
      </c>
      <c r="Y13" s="74">
        <v>1.0</v>
      </c>
      <c r="Z13" s="117"/>
      <c r="AA13" s="59" t="s">
        <v>184</v>
      </c>
      <c r="AB13" s="59" t="s">
        <v>186</v>
      </c>
      <c r="AC13" s="59" t="s">
        <v>187</v>
      </c>
      <c r="AD13" s="80" t="s">
        <v>188</v>
      </c>
      <c r="AE13" s="4"/>
      <c r="AF13" s="10"/>
      <c r="AG13" s="28"/>
    </row>
    <row r="14" ht="201.75" customHeight="1">
      <c r="A14" s="9"/>
      <c r="B14" s="9"/>
      <c r="C14" s="59">
        <v>2.0</v>
      </c>
      <c r="D14" s="61" t="s">
        <v>17</v>
      </c>
      <c r="E14" s="62" t="s">
        <v>106</v>
      </c>
      <c r="F14" s="11"/>
      <c r="G14" s="68">
        <v>3.0</v>
      </c>
      <c r="H14" s="68">
        <v>3.0</v>
      </c>
      <c r="I14" s="59" t="s">
        <v>190</v>
      </c>
      <c r="J14" s="59" t="s">
        <v>191</v>
      </c>
      <c r="K14" s="65" t="s">
        <v>192</v>
      </c>
      <c r="L14" s="85" t="s">
        <v>194</v>
      </c>
      <c r="M14" s="85" t="s">
        <v>195</v>
      </c>
      <c r="N14" s="119" t="s">
        <v>197</v>
      </c>
      <c r="O14" s="87" t="s">
        <v>201</v>
      </c>
      <c r="P14" s="124">
        <f>2+2</f>
        <v>4</v>
      </c>
      <c r="Q14" s="124">
        <f>4+2</f>
        <v>6</v>
      </c>
      <c r="R14" s="124">
        <v>7.0</v>
      </c>
      <c r="S14" s="124">
        <v>7.0</v>
      </c>
      <c r="T14" s="124">
        <v>7.0</v>
      </c>
      <c r="U14" s="124">
        <v>8.0</v>
      </c>
      <c r="V14" s="124">
        <v>10.0</v>
      </c>
      <c r="W14" s="124">
        <v>10.0</v>
      </c>
      <c r="X14" s="124">
        <v>10.0</v>
      </c>
      <c r="Y14" s="124">
        <v>10.0</v>
      </c>
      <c r="Z14" s="125"/>
      <c r="AA14" s="59" t="s">
        <v>150</v>
      </c>
      <c r="AB14" s="59" t="s">
        <v>186</v>
      </c>
      <c r="AC14" s="121" t="s">
        <v>212</v>
      </c>
      <c r="AD14" s="86"/>
      <c r="AE14" s="4"/>
      <c r="AF14" s="10"/>
      <c r="AG14" s="11"/>
    </row>
    <row r="15" ht="141.0" customHeight="1">
      <c r="A15" s="9"/>
      <c r="B15" s="21"/>
      <c r="C15" s="59">
        <v>3.0</v>
      </c>
      <c r="D15" s="61" t="s">
        <v>213</v>
      </c>
      <c r="E15" s="11"/>
      <c r="F15" s="62" t="s">
        <v>106</v>
      </c>
      <c r="G15" s="100" t="s">
        <v>217</v>
      </c>
      <c r="H15" s="100" t="s">
        <v>217</v>
      </c>
      <c r="I15" s="59" t="s">
        <v>218</v>
      </c>
      <c r="J15" s="59" t="s">
        <v>219</v>
      </c>
      <c r="K15" s="65" t="s">
        <v>220</v>
      </c>
      <c r="L15" s="65" t="s">
        <v>221</v>
      </c>
      <c r="M15" s="65" t="s">
        <v>222</v>
      </c>
      <c r="N15" s="65" t="s">
        <v>223</v>
      </c>
      <c r="O15" s="98"/>
      <c r="P15" s="100" t="s">
        <v>217</v>
      </c>
      <c r="Q15" s="100" t="s">
        <v>217</v>
      </c>
      <c r="R15" s="102" t="s">
        <v>217</v>
      </c>
      <c r="S15" s="102" t="s">
        <v>217</v>
      </c>
      <c r="T15" s="102" t="s">
        <v>217</v>
      </c>
      <c r="U15" s="102" t="s">
        <v>217</v>
      </c>
      <c r="V15" s="102" t="s">
        <v>217</v>
      </c>
      <c r="W15" s="102" t="s">
        <v>217</v>
      </c>
      <c r="X15" s="102" t="s">
        <v>217</v>
      </c>
      <c r="Y15" s="102" t="s">
        <v>217</v>
      </c>
      <c r="Z15" s="105"/>
      <c r="AA15" s="59" t="s">
        <v>150</v>
      </c>
      <c r="AB15" s="59" t="s">
        <v>186</v>
      </c>
      <c r="AC15" s="59" t="s">
        <v>187</v>
      </c>
      <c r="AD15" s="131"/>
      <c r="AE15" s="4"/>
      <c r="AF15" s="10"/>
      <c r="AG15" s="28"/>
    </row>
    <row r="16" ht="30.0" customHeight="1">
      <c r="A16" s="9"/>
      <c r="B16" s="26" t="s">
        <v>210</v>
      </c>
      <c r="C16" s="59">
        <v>1.0</v>
      </c>
      <c r="D16" s="134" t="s">
        <v>20</v>
      </c>
      <c r="E16" s="62" t="s">
        <v>106</v>
      </c>
      <c r="F16" s="11"/>
      <c r="G16" s="136" t="s">
        <v>227</v>
      </c>
      <c r="H16" s="136" t="s">
        <v>228</v>
      </c>
      <c r="I16" s="136" t="s">
        <v>229</v>
      </c>
      <c r="J16" s="59" t="s">
        <v>230</v>
      </c>
      <c r="K16" s="65" t="s">
        <v>231</v>
      </c>
      <c r="L16" s="85" t="s">
        <v>232</v>
      </c>
      <c r="M16" s="85" t="s">
        <v>233</v>
      </c>
      <c r="N16" s="66" t="s">
        <v>234</v>
      </c>
      <c r="O16" s="87" t="s">
        <v>236</v>
      </c>
      <c r="P16" s="69">
        <v>471.0</v>
      </c>
      <c r="Q16" s="124">
        <v>495.0</v>
      </c>
      <c r="R16" s="124">
        <v>400.0</v>
      </c>
      <c r="S16" s="124">
        <v>400.0</v>
      </c>
      <c r="T16" s="138">
        <v>400.0</v>
      </c>
      <c r="U16" s="138">
        <v>400.0</v>
      </c>
      <c r="V16" s="138">
        <v>400.0</v>
      </c>
      <c r="W16" s="138">
        <v>400.0</v>
      </c>
      <c r="X16" s="138">
        <v>400.0</v>
      </c>
      <c r="Y16" s="138">
        <v>400.0</v>
      </c>
      <c r="Z16" s="140" t="s">
        <v>239</v>
      </c>
      <c r="AA16" s="59" t="s">
        <v>240</v>
      </c>
      <c r="AB16" s="59" t="s">
        <v>186</v>
      </c>
      <c r="AC16" s="59" t="s">
        <v>241</v>
      </c>
      <c r="AD16" s="86" t="s">
        <v>242</v>
      </c>
      <c r="AE16" s="4"/>
      <c r="AF16" s="10"/>
      <c r="AG16" s="143"/>
    </row>
    <row r="17" ht="30.0" customHeight="1">
      <c r="A17" s="9"/>
      <c r="B17" s="9"/>
      <c r="C17" s="59">
        <v>2.0</v>
      </c>
      <c r="D17" s="134" t="s">
        <v>26</v>
      </c>
      <c r="E17" s="62" t="s">
        <v>106</v>
      </c>
      <c r="F17" s="11"/>
      <c r="G17" s="146" t="s">
        <v>244</v>
      </c>
      <c r="H17" s="146" t="s">
        <v>245</v>
      </c>
      <c r="I17" s="136" t="s">
        <v>246</v>
      </c>
      <c r="J17" s="59" t="s">
        <v>247</v>
      </c>
      <c r="K17" s="65" t="s">
        <v>248</v>
      </c>
      <c r="L17" s="85" t="s">
        <v>249</v>
      </c>
      <c r="M17" s="85" t="s">
        <v>250</v>
      </c>
      <c r="N17" s="66" t="s">
        <v>252</v>
      </c>
      <c r="O17" s="87" t="s">
        <v>253</v>
      </c>
      <c r="P17" s="69">
        <v>51404.0</v>
      </c>
      <c r="Q17" s="124">
        <v>51500.0</v>
      </c>
      <c r="R17" s="124">
        <v>32000.0</v>
      </c>
      <c r="S17" s="124">
        <v>32000.0</v>
      </c>
      <c r="T17" s="138">
        <v>32000.0</v>
      </c>
      <c r="U17" s="138">
        <v>32000.0</v>
      </c>
      <c r="V17" s="138">
        <v>32000.0</v>
      </c>
      <c r="W17" s="138">
        <v>32000.0</v>
      </c>
      <c r="X17" s="138">
        <v>32000.0</v>
      </c>
      <c r="Y17" s="138">
        <v>32000.0</v>
      </c>
      <c r="Z17" s="140" t="s">
        <v>239</v>
      </c>
      <c r="AA17" s="59" t="s">
        <v>240</v>
      </c>
      <c r="AB17" s="59" t="s">
        <v>186</v>
      </c>
      <c r="AC17" s="59" t="s">
        <v>254</v>
      </c>
      <c r="AD17" s="131"/>
      <c r="AE17" s="4"/>
      <c r="AF17" s="10"/>
      <c r="AG17" s="143"/>
    </row>
    <row r="18" ht="141.0" customHeight="1">
      <c r="A18" s="9"/>
      <c r="B18" s="21"/>
      <c r="C18" s="59">
        <v>3.0</v>
      </c>
      <c r="D18" s="61" t="s">
        <v>257</v>
      </c>
      <c r="E18" s="11"/>
      <c r="F18" s="62" t="s">
        <v>106</v>
      </c>
      <c r="G18" s="100" t="s">
        <v>258</v>
      </c>
      <c r="H18" s="100" t="s">
        <v>258</v>
      </c>
      <c r="I18" s="59" t="s">
        <v>258</v>
      </c>
      <c r="J18" s="59" t="s">
        <v>259</v>
      </c>
      <c r="K18" s="65" t="s">
        <v>260</v>
      </c>
      <c r="L18" s="65" t="s">
        <v>261</v>
      </c>
      <c r="M18" s="65" t="s">
        <v>262</v>
      </c>
      <c r="N18" s="65" t="s">
        <v>263</v>
      </c>
      <c r="O18" s="98"/>
      <c r="P18" s="63" t="s">
        <v>264</v>
      </c>
      <c r="Q18" s="63" t="s">
        <v>264</v>
      </c>
      <c r="R18" s="72" t="s">
        <v>264</v>
      </c>
      <c r="S18" s="72" t="s">
        <v>264</v>
      </c>
      <c r="T18" s="72" t="s">
        <v>264</v>
      </c>
      <c r="U18" s="72" t="s">
        <v>264</v>
      </c>
      <c r="V18" s="72" t="s">
        <v>264</v>
      </c>
      <c r="W18" s="72" t="s">
        <v>264</v>
      </c>
      <c r="X18" s="72" t="s">
        <v>264</v>
      </c>
      <c r="Y18" s="72" t="s">
        <v>264</v>
      </c>
      <c r="Z18" s="76"/>
      <c r="AA18" s="59" t="s">
        <v>150</v>
      </c>
      <c r="AB18" s="59" t="s">
        <v>186</v>
      </c>
      <c r="AC18" s="59" t="s">
        <v>267</v>
      </c>
      <c r="AD18" s="131"/>
      <c r="AE18" s="4"/>
      <c r="AF18" s="10"/>
      <c r="AG18" s="143"/>
    </row>
    <row r="19" ht="49.5" customHeight="1">
      <c r="A19" s="9"/>
      <c r="B19" s="26" t="s">
        <v>270</v>
      </c>
      <c r="C19" s="59">
        <v>1.0</v>
      </c>
      <c r="D19" s="134" t="s">
        <v>271</v>
      </c>
      <c r="E19" s="151" t="s">
        <v>274</v>
      </c>
      <c r="F19" s="4"/>
      <c r="G19" s="4"/>
      <c r="H19" s="4"/>
      <c r="I19" s="4"/>
      <c r="J19" s="4"/>
      <c r="K19" s="4"/>
      <c r="L19" s="4"/>
      <c r="M19" s="4"/>
      <c r="N19" s="4"/>
      <c r="O19" s="4"/>
      <c r="P19" s="4"/>
      <c r="Q19" s="4"/>
      <c r="R19" s="4"/>
      <c r="S19" s="4"/>
      <c r="T19" s="4"/>
      <c r="U19" s="4"/>
      <c r="V19" s="4"/>
      <c r="W19" s="4"/>
      <c r="X19" s="4"/>
      <c r="Y19" s="4"/>
      <c r="Z19" s="4"/>
      <c r="AA19" s="4"/>
      <c r="AB19" s="4"/>
      <c r="AC19" s="4"/>
      <c r="AD19" s="4"/>
      <c r="AE19" s="4"/>
      <c r="AF19" s="4"/>
      <c r="AG19" s="10"/>
    </row>
    <row r="20" ht="30.0" customHeight="1">
      <c r="A20" s="9"/>
      <c r="B20" s="9"/>
      <c r="C20" s="154" t="s">
        <v>282</v>
      </c>
      <c r="D20" s="61" t="s">
        <v>284</v>
      </c>
      <c r="E20" s="62" t="s">
        <v>106</v>
      </c>
      <c r="F20" s="28"/>
      <c r="G20" s="136" t="s">
        <v>286</v>
      </c>
      <c r="H20" s="136" t="s">
        <v>289</v>
      </c>
      <c r="I20" s="136" t="s">
        <v>291</v>
      </c>
      <c r="J20" s="59" t="s">
        <v>292</v>
      </c>
      <c r="K20" s="65" t="s">
        <v>293</v>
      </c>
      <c r="L20" s="85" t="s">
        <v>294</v>
      </c>
      <c r="M20" s="65" t="s">
        <v>295</v>
      </c>
      <c r="N20" s="66" t="s">
        <v>296</v>
      </c>
      <c r="O20" s="87" t="s">
        <v>297</v>
      </c>
      <c r="P20" s="69">
        <v>120.0</v>
      </c>
      <c r="Q20" s="124">
        <v>100.0</v>
      </c>
      <c r="R20" s="124">
        <v>60.0</v>
      </c>
      <c r="S20" s="124">
        <v>60.0</v>
      </c>
      <c r="T20" s="138" t="s">
        <v>298</v>
      </c>
      <c r="U20" s="138" t="s">
        <v>299</v>
      </c>
      <c r="V20" s="138" t="s">
        <v>300</v>
      </c>
      <c r="W20" s="138" t="s">
        <v>301</v>
      </c>
      <c r="X20" s="138" t="s">
        <v>303</v>
      </c>
      <c r="Y20" s="138" t="s">
        <v>304</v>
      </c>
      <c r="Z20" s="140" t="s">
        <v>305</v>
      </c>
      <c r="AA20" s="59" t="s">
        <v>306</v>
      </c>
      <c r="AB20" s="59" t="s">
        <v>120</v>
      </c>
      <c r="AC20" s="59" t="s">
        <v>308</v>
      </c>
      <c r="AD20" s="80"/>
      <c r="AE20" s="4"/>
      <c r="AF20" s="10"/>
      <c r="AG20" s="143"/>
    </row>
    <row r="21" ht="157.5" customHeight="1">
      <c r="A21" s="9"/>
      <c r="B21" s="9"/>
      <c r="C21" s="154" t="s">
        <v>314</v>
      </c>
      <c r="D21" s="61" t="s">
        <v>28</v>
      </c>
      <c r="E21" s="62" t="s">
        <v>106</v>
      </c>
      <c r="F21" s="28"/>
      <c r="G21" s="136" t="s">
        <v>316</v>
      </c>
      <c r="H21" s="136" t="s">
        <v>317</v>
      </c>
      <c r="I21" s="136" t="s">
        <v>318</v>
      </c>
      <c r="J21" s="59" t="s">
        <v>319</v>
      </c>
      <c r="K21" s="85" t="s">
        <v>321</v>
      </c>
      <c r="L21" s="85" t="s">
        <v>322</v>
      </c>
      <c r="M21" s="85" t="s">
        <v>323</v>
      </c>
      <c r="N21" s="66" t="s">
        <v>325</v>
      </c>
      <c r="O21" s="87" t="s">
        <v>327</v>
      </c>
      <c r="P21" s="69">
        <v>35.0</v>
      </c>
      <c r="Q21" s="124">
        <v>30.0</v>
      </c>
      <c r="R21" s="124">
        <v>20.0</v>
      </c>
      <c r="S21" s="124">
        <v>20.0</v>
      </c>
      <c r="T21" s="138" t="s">
        <v>330</v>
      </c>
      <c r="U21" s="138" t="s">
        <v>331</v>
      </c>
      <c r="V21" s="90" t="s">
        <v>333</v>
      </c>
      <c r="W21" s="138" t="s">
        <v>334</v>
      </c>
      <c r="X21" s="138" t="s">
        <v>335</v>
      </c>
      <c r="Y21" s="138" t="s">
        <v>337</v>
      </c>
      <c r="Z21" s="140" t="s">
        <v>305</v>
      </c>
      <c r="AA21" s="59" t="s">
        <v>306</v>
      </c>
      <c r="AB21" s="59" t="s">
        <v>120</v>
      </c>
      <c r="AC21" s="59" t="s">
        <v>338</v>
      </c>
      <c r="AD21" s="80"/>
      <c r="AE21" s="4"/>
      <c r="AF21" s="10"/>
      <c r="AG21" s="143"/>
    </row>
    <row r="22" ht="150.0" customHeight="1">
      <c r="A22" s="9"/>
      <c r="B22" s="9"/>
      <c r="C22" s="154" t="s">
        <v>339</v>
      </c>
      <c r="D22" s="61" t="s">
        <v>340</v>
      </c>
      <c r="E22" s="62" t="s">
        <v>106</v>
      </c>
      <c r="F22" s="28"/>
      <c r="G22" s="146" t="s">
        <v>344</v>
      </c>
      <c r="H22" s="136" t="s">
        <v>346</v>
      </c>
      <c r="I22" s="136" t="s">
        <v>348</v>
      </c>
      <c r="J22" s="59" t="s">
        <v>349</v>
      </c>
      <c r="K22" s="65" t="s">
        <v>350</v>
      </c>
      <c r="L22" s="65" t="s">
        <v>351</v>
      </c>
      <c r="M22" s="65" t="s">
        <v>352</v>
      </c>
      <c r="N22" s="66" t="s">
        <v>353</v>
      </c>
      <c r="O22" s="158"/>
      <c r="P22" s="69">
        <v>1000.0</v>
      </c>
      <c r="Q22" s="124">
        <v>800.0</v>
      </c>
      <c r="R22" s="124">
        <v>400.0</v>
      </c>
      <c r="S22" s="124">
        <v>400.0</v>
      </c>
      <c r="T22" s="124">
        <v>400.0</v>
      </c>
      <c r="U22" s="124">
        <v>400.0</v>
      </c>
      <c r="V22" s="124">
        <v>400.0</v>
      </c>
      <c r="W22" s="124">
        <v>400.0</v>
      </c>
      <c r="X22" s="124">
        <v>400.0</v>
      </c>
      <c r="Y22" s="124">
        <v>400.0</v>
      </c>
      <c r="Z22" s="125"/>
      <c r="AA22" s="59" t="s">
        <v>306</v>
      </c>
      <c r="AB22" s="59" t="s">
        <v>120</v>
      </c>
      <c r="AC22" s="59" t="s">
        <v>357</v>
      </c>
      <c r="AD22" s="80"/>
      <c r="AE22" s="4"/>
      <c r="AF22" s="10"/>
      <c r="AG22" s="143"/>
    </row>
    <row r="23" ht="30.0" customHeight="1">
      <c r="A23" s="9"/>
      <c r="B23" s="9"/>
      <c r="C23" s="154" t="s">
        <v>363</v>
      </c>
      <c r="D23" s="61" t="s">
        <v>364</v>
      </c>
      <c r="E23" s="62" t="s">
        <v>106</v>
      </c>
      <c r="F23" s="28"/>
      <c r="G23" s="162" t="s">
        <v>365</v>
      </c>
      <c r="H23" s="136" t="s">
        <v>366</v>
      </c>
      <c r="I23" s="136" t="s">
        <v>367</v>
      </c>
      <c r="J23" s="59" t="s">
        <v>368</v>
      </c>
      <c r="K23" s="85" t="s">
        <v>370</v>
      </c>
      <c r="L23" s="85" t="s">
        <v>372</v>
      </c>
      <c r="M23" s="65" t="s">
        <v>373</v>
      </c>
      <c r="N23" s="119" t="s">
        <v>374</v>
      </c>
      <c r="O23" s="163"/>
      <c r="P23" s="69">
        <v>3500.0</v>
      </c>
      <c r="Q23" s="124">
        <v>3650.0</v>
      </c>
      <c r="R23" s="124">
        <v>8879.0</v>
      </c>
      <c r="S23" s="124">
        <v>8879.0</v>
      </c>
      <c r="T23" s="147" t="s">
        <v>376</v>
      </c>
      <c r="U23" s="147" t="s">
        <v>377</v>
      </c>
      <c r="V23" s="147" t="s">
        <v>378</v>
      </c>
      <c r="W23" s="147" t="s">
        <v>380</v>
      </c>
      <c r="X23" s="147" t="s">
        <v>382</v>
      </c>
      <c r="Y23" s="147" t="s">
        <v>383</v>
      </c>
      <c r="Z23" s="140" t="s">
        <v>384</v>
      </c>
      <c r="AA23" s="59" t="s">
        <v>150</v>
      </c>
      <c r="AB23" s="59" t="s">
        <v>120</v>
      </c>
      <c r="AC23" s="59" t="s">
        <v>386</v>
      </c>
      <c r="AD23" s="80"/>
      <c r="AE23" s="4"/>
      <c r="AF23" s="10"/>
      <c r="AG23" s="166"/>
    </row>
    <row r="24" ht="141.0" customHeight="1">
      <c r="A24" s="9"/>
      <c r="B24" s="9"/>
      <c r="C24" s="59">
        <v>2.0</v>
      </c>
      <c r="D24" s="61" t="s">
        <v>389</v>
      </c>
      <c r="E24" s="11"/>
      <c r="F24" s="62" t="s">
        <v>106</v>
      </c>
      <c r="G24" s="169" t="s">
        <v>390</v>
      </c>
      <c r="H24" s="102" t="s">
        <v>391</v>
      </c>
      <c r="I24" s="59" t="s">
        <v>392</v>
      </c>
      <c r="J24" s="59" t="s">
        <v>393</v>
      </c>
      <c r="K24" s="65" t="s">
        <v>394</v>
      </c>
      <c r="L24" s="65" t="s">
        <v>395</v>
      </c>
      <c r="M24" s="93" t="s">
        <v>396</v>
      </c>
      <c r="N24" s="65" t="s">
        <v>398</v>
      </c>
      <c r="O24" s="98"/>
      <c r="P24" s="63" t="s">
        <v>399</v>
      </c>
      <c r="Q24" s="72" t="s">
        <v>399</v>
      </c>
      <c r="R24" s="72" t="s">
        <v>399</v>
      </c>
      <c r="S24" s="72" t="s">
        <v>399</v>
      </c>
      <c r="T24" s="72" t="s">
        <v>399</v>
      </c>
      <c r="U24" s="72" t="s">
        <v>399</v>
      </c>
      <c r="V24" s="72" t="s">
        <v>399</v>
      </c>
      <c r="W24" s="72" t="s">
        <v>399</v>
      </c>
      <c r="X24" s="72" t="s">
        <v>399</v>
      </c>
      <c r="Y24" s="72" t="s">
        <v>399</v>
      </c>
      <c r="Z24" s="76"/>
      <c r="AA24" s="59" t="s">
        <v>150</v>
      </c>
      <c r="AB24" s="59" t="s">
        <v>120</v>
      </c>
      <c r="AC24" s="59" t="s">
        <v>400</v>
      </c>
      <c r="AD24" s="131"/>
      <c r="AE24" s="4"/>
      <c r="AF24" s="10"/>
      <c r="AG24" s="28"/>
    </row>
    <row r="25" ht="30.0" customHeight="1">
      <c r="A25" s="9"/>
      <c r="B25" s="26" t="s">
        <v>255</v>
      </c>
      <c r="C25" s="59">
        <v>1.1</v>
      </c>
      <c r="D25" s="61" t="s">
        <v>32</v>
      </c>
      <c r="E25" s="62" t="s">
        <v>106</v>
      </c>
      <c r="F25" s="28"/>
      <c r="G25" s="59" t="s">
        <v>402</v>
      </c>
      <c r="H25" s="59" t="s">
        <v>403</v>
      </c>
      <c r="I25" s="59" t="s">
        <v>405</v>
      </c>
      <c r="J25" s="59" t="s">
        <v>406</v>
      </c>
      <c r="K25" s="65" t="s">
        <v>407</v>
      </c>
      <c r="L25" s="65" t="s">
        <v>408</v>
      </c>
      <c r="M25" s="85" t="s">
        <v>409</v>
      </c>
      <c r="N25" s="66" t="s">
        <v>410</v>
      </c>
      <c r="O25" s="67"/>
      <c r="P25" s="172">
        <v>678.0</v>
      </c>
      <c r="Q25" s="124">
        <v>660.0</v>
      </c>
      <c r="R25" s="124">
        <v>600.0</v>
      </c>
      <c r="S25" s="124">
        <v>600.0</v>
      </c>
      <c r="T25" s="124">
        <v>600.0</v>
      </c>
      <c r="U25" s="124">
        <v>600.0</v>
      </c>
      <c r="V25" s="124">
        <v>600.0</v>
      </c>
      <c r="W25" s="124">
        <v>600.0</v>
      </c>
      <c r="X25" s="124">
        <v>600.0</v>
      </c>
      <c r="Y25" s="124">
        <v>600.0</v>
      </c>
      <c r="Z25" s="173"/>
      <c r="AA25" s="26" t="s">
        <v>414</v>
      </c>
      <c r="AB25" s="59" t="s">
        <v>186</v>
      </c>
      <c r="AC25" s="26" t="s">
        <v>415</v>
      </c>
      <c r="AD25" s="30" t="s">
        <v>419</v>
      </c>
      <c r="AE25" s="29"/>
      <c r="AF25" s="24"/>
      <c r="AG25" s="175" t="s">
        <v>422</v>
      </c>
    </row>
    <row r="26" ht="30.0" customHeight="1">
      <c r="A26" s="9"/>
      <c r="B26" s="9"/>
      <c r="C26" s="59">
        <v>1.2</v>
      </c>
      <c r="D26" s="61" t="s">
        <v>423</v>
      </c>
      <c r="E26" s="62" t="s">
        <v>106</v>
      </c>
      <c r="F26" s="28"/>
      <c r="G26" s="59" t="s">
        <v>424</v>
      </c>
      <c r="H26" s="59" t="s">
        <v>425</v>
      </c>
      <c r="I26" s="59" t="s">
        <v>426</v>
      </c>
      <c r="J26" s="59" t="s">
        <v>427</v>
      </c>
      <c r="K26" s="65" t="s">
        <v>428</v>
      </c>
      <c r="L26" s="65" t="s">
        <v>429</v>
      </c>
      <c r="M26" s="65" t="s">
        <v>430</v>
      </c>
      <c r="N26" s="87" t="s">
        <v>431</v>
      </c>
      <c r="O26" s="67"/>
      <c r="P26" s="172">
        <v>432.0</v>
      </c>
      <c r="Q26" s="124">
        <v>460.0</v>
      </c>
      <c r="R26" s="124">
        <v>400.0</v>
      </c>
      <c r="S26" s="124">
        <v>400.0</v>
      </c>
      <c r="T26" s="124">
        <v>400.0</v>
      </c>
      <c r="U26" s="124">
        <v>400.0</v>
      </c>
      <c r="V26" s="124">
        <v>400.0</v>
      </c>
      <c r="W26" s="124">
        <v>400.0</v>
      </c>
      <c r="X26" s="124">
        <v>400.0</v>
      </c>
      <c r="Y26" s="124">
        <v>400.0</v>
      </c>
      <c r="Z26" s="176"/>
      <c r="AA26" s="21"/>
      <c r="AB26" s="59" t="s">
        <v>186</v>
      </c>
      <c r="AC26" s="21"/>
      <c r="AD26" s="33"/>
      <c r="AF26" s="34"/>
      <c r="AG26" s="21"/>
    </row>
    <row r="27" ht="30.0" customHeight="1">
      <c r="A27" s="9"/>
      <c r="B27" s="9"/>
      <c r="C27" s="59">
        <v>2.1</v>
      </c>
      <c r="D27" s="61" t="s">
        <v>33</v>
      </c>
      <c r="E27" s="62" t="s">
        <v>106</v>
      </c>
      <c r="F27" s="28"/>
      <c r="G27" s="178" t="s">
        <v>435</v>
      </c>
      <c r="H27" s="179" t="s">
        <v>436</v>
      </c>
      <c r="I27" s="59" t="s">
        <v>438</v>
      </c>
      <c r="J27" s="59" t="s">
        <v>439</v>
      </c>
      <c r="K27" s="65" t="s">
        <v>440</v>
      </c>
      <c r="L27" s="85" t="s">
        <v>441</v>
      </c>
      <c r="M27" s="180" t="s">
        <v>443</v>
      </c>
      <c r="N27" s="66" t="s">
        <v>445</v>
      </c>
      <c r="O27" s="181"/>
      <c r="P27" s="69">
        <v>5000.0</v>
      </c>
      <c r="Q27" s="124">
        <v>5000.0</v>
      </c>
      <c r="R27" s="124">
        <v>5200.0</v>
      </c>
      <c r="S27" s="124">
        <v>5200.0</v>
      </c>
      <c r="T27" s="138" t="s">
        <v>450</v>
      </c>
      <c r="U27" s="138" t="s">
        <v>451</v>
      </c>
      <c r="V27" s="138" t="s">
        <v>452</v>
      </c>
      <c r="W27" s="138" t="s">
        <v>453</v>
      </c>
      <c r="X27" s="138" t="s">
        <v>454</v>
      </c>
      <c r="Y27" s="138" t="s">
        <v>456</v>
      </c>
      <c r="Z27" s="140" t="s">
        <v>290</v>
      </c>
      <c r="AA27" s="26" t="s">
        <v>240</v>
      </c>
      <c r="AB27" s="59" t="s">
        <v>186</v>
      </c>
      <c r="AC27" s="26" t="s">
        <v>458</v>
      </c>
      <c r="AD27" s="33"/>
      <c r="AF27" s="34"/>
      <c r="AG27" s="182" t="s">
        <v>459</v>
      </c>
    </row>
    <row r="28" ht="30.0" customHeight="1">
      <c r="A28" s="9"/>
      <c r="B28" s="9"/>
      <c r="C28" s="59">
        <v>2.2</v>
      </c>
      <c r="D28" s="61" t="s">
        <v>463</v>
      </c>
      <c r="E28" s="62" t="s">
        <v>106</v>
      </c>
      <c r="F28" s="28"/>
      <c r="G28" s="178" t="s">
        <v>465</v>
      </c>
      <c r="H28" s="179" t="s">
        <v>467</v>
      </c>
      <c r="I28" s="59" t="s">
        <v>469</v>
      </c>
      <c r="J28" s="59" t="s">
        <v>470</v>
      </c>
      <c r="K28" s="85" t="s">
        <v>471</v>
      </c>
      <c r="L28" s="85" t="s">
        <v>472</v>
      </c>
      <c r="M28" s="92" t="s">
        <v>473</v>
      </c>
      <c r="N28" s="87" t="s">
        <v>474</v>
      </c>
      <c r="O28" s="181"/>
      <c r="P28" s="69">
        <v>3507.0</v>
      </c>
      <c r="Q28" s="124">
        <v>5000.0</v>
      </c>
      <c r="R28" s="124">
        <v>5000.0</v>
      </c>
      <c r="S28" s="124">
        <v>5000.0</v>
      </c>
      <c r="T28" s="138" t="s">
        <v>475</v>
      </c>
      <c r="U28" s="138" t="s">
        <v>476</v>
      </c>
      <c r="V28" s="138" t="s">
        <v>477</v>
      </c>
      <c r="W28" s="138" t="s">
        <v>479</v>
      </c>
      <c r="X28" s="138" t="s">
        <v>480</v>
      </c>
      <c r="Y28" s="138" t="s">
        <v>482</v>
      </c>
      <c r="Z28" s="140" t="s">
        <v>290</v>
      </c>
      <c r="AA28" s="21"/>
      <c r="AB28" s="59" t="s">
        <v>186</v>
      </c>
      <c r="AC28" s="21"/>
      <c r="AD28" s="35"/>
      <c r="AE28" s="37"/>
      <c r="AF28" s="36"/>
      <c r="AG28" s="21"/>
    </row>
    <row r="29" ht="30.0" customHeight="1">
      <c r="A29" s="9"/>
      <c r="B29" s="9"/>
      <c r="C29" s="59">
        <v>3.0</v>
      </c>
      <c r="D29" s="61" t="s">
        <v>34</v>
      </c>
      <c r="E29" s="62" t="s">
        <v>106</v>
      </c>
      <c r="F29" s="28"/>
      <c r="G29" s="146" t="s">
        <v>484</v>
      </c>
      <c r="H29" s="146" t="s">
        <v>485</v>
      </c>
      <c r="I29" s="146" t="s">
        <v>486</v>
      </c>
      <c r="J29" s="59" t="s">
        <v>487</v>
      </c>
      <c r="K29" s="85" t="s">
        <v>488</v>
      </c>
      <c r="L29" s="65" t="s">
        <v>489</v>
      </c>
      <c r="M29" s="180" t="s">
        <v>491</v>
      </c>
      <c r="N29" s="87" t="s">
        <v>492</v>
      </c>
      <c r="O29" s="67"/>
      <c r="P29" s="63">
        <v>3500.0</v>
      </c>
      <c r="Q29" s="63">
        <v>3500.0</v>
      </c>
      <c r="R29" s="63">
        <v>4469.0</v>
      </c>
      <c r="S29" s="63">
        <v>4500.0</v>
      </c>
      <c r="T29" s="63">
        <v>4500.0</v>
      </c>
      <c r="U29" s="63">
        <v>4500.0</v>
      </c>
      <c r="V29" s="63">
        <v>4500.0</v>
      </c>
      <c r="W29" s="63">
        <v>4500.0</v>
      </c>
      <c r="X29" s="63">
        <v>4500.0</v>
      </c>
      <c r="Y29" s="63">
        <v>4500.0</v>
      </c>
      <c r="Z29" s="76"/>
      <c r="AA29" s="59" t="s">
        <v>494</v>
      </c>
      <c r="AB29" s="59" t="s">
        <v>186</v>
      </c>
      <c r="AC29" s="59" t="s">
        <v>495</v>
      </c>
      <c r="AD29" s="131"/>
      <c r="AE29" s="4"/>
      <c r="AF29" s="10"/>
      <c r="AG29" s="143"/>
    </row>
    <row r="30" ht="30.0" customHeight="1">
      <c r="A30" s="9"/>
      <c r="B30" s="9"/>
      <c r="C30" s="59">
        <v>4.0</v>
      </c>
      <c r="D30" s="61" t="s">
        <v>496</v>
      </c>
      <c r="E30" s="62" t="s">
        <v>106</v>
      </c>
      <c r="F30" s="28"/>
      <c r="G30" s="136" t="s">
        <v>497</v>
      </c>
      <c r="H30" s="146" t="s">
        <v>498</v>
      </c>
      <c r="I30" s="146" t="s">
        <v>499</v>
      </c>
      <c r="J30" s="59" t="s">
        <v>500</v>
      </c>
      <c r="K30" s="65" t="s">
        <v>501</v>
      </c>
      <c r="L30" s="65" t="s">
        <v>502</v>
      </c>
      <c r="M30" s="92" t="s">
        <v>503</v>
      </c>
      <c r="N30" s="87" t="s">
        <v>505</v>
      </c>
      <c r="O30" s="67"/>
      <c r="P30" s="69">
        <v>113.0</v>
      </c>
      <c r="Q30" s="63">
        <v>120.0</v>
      </c>
      <c r="R30" s="63">
        <v>405.0</v>
      </c>
      <c r="S30" s="63">
        <v>405.0</v>
      </c>
      <c r="T30" s="63">
        <v>410.0</v>
      </c>
      <c r="U30" s="63">
        <v>410.0</v>
      </c>
      <c r="V30" s="63">
        <v>415.0</v>
      </c>
      <c r="W30" s="63">
        <v>415.0</v>
      </c>
      <c r="X30" s="63">
        <v>420.0</v>
      </c>
      <c r="Y30" s="63">
        <v>420.0</v>
      </c>
      <c r="Z30" s="76"/>
      <c r="AA30" s="59" t="s">
        <v>494</v>
      </c>
      <c r="AB30" s="59" t="s">
        <v>186</v>
      </c>
      <c r="AC30" s="59" t="s">
        <v>507</v>
      </c>
      <c r="AD30" s="131"/>
      <c r="AE30" s="4"/>
      <c r="AF30" s="10"/>
      <c r="AG30" s="143"/>
    </row>
    <row r="31" ht="206.25" customHeight="1">
      <c r="A31" s="9"/>
      <c r="B31" s="21"/>
      <c r="C31" s="59">
        <v>5.0</v>
      </c>
      <c r="D31" s="61" t="s">
        <v>513</v>
      </c>
      <c r="E31" s="28"/>
      <c r="F31" s="62" t="s">
        <v>106</v>
      </c>
      <c r="G31" s="100" t="s">
        <v>514</v>
      </c>
      <c r="H31" s="100" t="s">
        <v>515</v>
      </c>
      <c r="I31" s="59" t="s">
        <v>515</v>
      </c>
      <c r="J31" s="59" t="s">
        <v>516</v>
      </c>
      <c r="K31" s="65" t="s">
        <v>518</v>
      </c>
      <c r="L31" s="65" t="s">
        <v>519</v>
      </c>
      <c r="M31" s="93" t="s">
        <v>520</v>
      </c>
      <c r="N31" s="65" t="s">
        <v>522</v>
      </c>
      <c r="O31" s="98"/>
      <c r="P31" s="100" t="s">
        <v>515</v>
      </c>
      <c r="Q31" s="100" t="s">
        <v>515</v>
      </c>
      <c r="R31" s="100" t="s">
        <v>523</v>
      </c>
      <c r="S31" s="100" t="s">
        <v>523</v>
      </c>
      <c r="T31" s="100" t="s">
        <v>523</v>
      </c>
      <c r="U31" s="100" t="s">
        <v>523</v>
      </c>
      <c r="V31" s="100" t="s">
        <v>523</v>
      </c>
      <c r="W31" s="100" t="s">
        <v>523</v>
      </c>
      <c r="X31" s="100" t="s">
        <v>523</v>
      </c>
      <c r="Y31" s="100" t="s">
        <v>523</v>
      </c>
      <c r="Z31" s="105"/>
      <c r="AA31" s="59" t="s">
        <v>150</v>
      </c>
      <c r="AB31" s="59" t="s">
        <v>186</v>
      </c>
      <c r="AC31" s="59" t="s">
        <v>152</v>
      </c>
      <c r="AD31" s="131"/>
      <c r="AE31" s="4"/>
      <c r="AF31" s="10"/>
      <c r="AG31" s="28"/>
    </row>
    <row r="32" ht="30.0" customHeight="1">
      <c r="A32" s="9"/>
      <c r="B32" s="26" t="s">
        <v>268</v>
      </c>
      <c r="C32" s="59">
        <v>1.0</v>
      </c>
      <c r="D32" s="188" t="s">
        <v>36</v>
      </c>
      <c r="E32" s="62" t="s">
        <v>106</v>
      </c>
      <c r="F32" s="28"/>
      <c r="G32" s="59" t="s">
        <v>530</v>
      </c>
      <c r="H32" s="59" t="s">
        <v>532</v>
      </c>
      <c r="I32" s="59" t="s">
        <v>533</v>
      </c>
      <c r="J32" s="59" t="s">
        <v>534</v>
      </c>
      <c r="K32" s="65" t="s">
        <v>535</v>
      </c>
      <c r="L32" s="65" t="s">
        <v>536</v>
      </c>
      <c r="M32" s="180" t="s">
        <v>537</v>
      </c>
      <c r="N32" s="65" t="s">
        <v>538</v>
      </c>
      <c r="O32" s="67"/>
      <c r="P32" s="63">
        <v>330.0</v>
      </c>
      <c r="Q32" s="72">
        <v>330.0</v>
      </c>
      <c r="R32" s="72">
        <f t="shared" ref="R32:S32" si="1">R33*0.6</f>
        <v>510</v>
      </c>
      <c r="S32" s="72">
        <f t="shared" si="1"/>
        <v>540</v>
      </c>
      <c r="T32" s="72">
        <v>560.0</v>
      </c>
      <c r="U32" s="90" t="s">
        <v>540</v>
      </c>
      <c r="V32" s="90" t="s">
        <v>541</v>
      </c>
      <c r="W32" s="90" t="s">
        <v>542</v>
      </c>
      <c r="X32" s="90" t="s">
        <v>543</v>
      </c>
      <c r="Y32" s="90" t="s">
        <v>544</v>
      </c>
      <c r="Z32" s="76"/>
      <c r="AA32" s="59" t="s">
        <v>150</v>
      </c>
      <c r="AB32" s="59" t="s">
        <v>186</v>
      </c>
      <c r="AC32" s="59" t="s">
        <v>545</v>
      </c>
      <c r="AD32" s="86" t="s">
        <v>546</v>
      </c>
      <c r="AE32" s="4"/>
      <c r="AF32" s="10"/>
      <c r="AG32" s="193" t="s">
        <v>547</v>
      </c>
      <c r="AI32" s="195" t="s">
        <v>548</v>
      </c>
    </row>
    <row r="33" ht="30.0" customHeight="1">
      <c r="A33" s="9"/>
      <c r="B33" s="9"/>
      <c r="C33" s="59">
        <v>2.0</v>
      </c>
      <c r="D33" s="188" t="s">
        <v>38</v>
      </c>
      <c r="E33" s="62" t="s">
        <v>106</v>
      </c>
      <c r="F33" s="28"/>
      <c r="G33" s="59" t="s">
        <v>549</v>
      </c>
      <c r="H33" s="59" t="s">
        <v>550</v>
      </c>
      <c r="I33" s="59" t="s">
        <v>551</v>
      </c>
      <c r="J33" s="59" t="s">
        <v>552</v>
      </c>
      <c r="K33" s="65" t="s">
        <v>553</v>
      </c>
      <c r="L33" s="65" t="s">
        <v>554</v>
      </c>
      <c r="M33" s="180" t="s">
        <v>555</v>
      </c>
      <c r="N33" s="119" t="s">
        <v>556</v>
      </c>
      <c r="O33" s="67"/>
      <c r="P33" s="63">
        <v>500.0</v>
      </c>
      <c r="Q33" s="72">
        <v>500.0</v>
      </c>
      <c r="R33" s="72">
        <v>850.0</v>
      </c>
      <c r="S33" s="72">
        <v>900.0</v>
      </c>
      <c r="T33" s="72">
        <v>900.0</v>
      </c>
      <c r="U33" s="72">
        <v>900.0</v>
      </c>
      <c r="V33" s="72">
        <v>900.0</v>
      </c>
      <c r="W33" s="72">
        <v>900.0</v>
      </c>
      <c r="X33" s="72">
        <v>900.0</v>
      </c>
      <c r="Y33" s="72">
        <v>900.0</v>
      </c>
      <c r="Z33" s="76"/>
      <c r="AA33" s="59" t="s">
        <v>150</v>
      </c>
      <c r="AB33" s="59" t="s">
        <v>186</v>
      </c>
      <c r="AC33" s="59" t="s">
        <v>545</v>
      </c>
      <c r="AD33" s="86" t="s">
        <v>546</v>
      </c>
      <c r="AE33" s="4"/>
      <c r="AF33" s="10"/>
      <c r="AG33" s="193" t="s">
        <v>557</v>
      </c>
    </row>
    <row r="34" ht="293.25" customHeight="1">
      <c r="A34" s="9"/>
      <c r="B34" s="21"/>
      <c r="C34" s="59">
        <v>3.0</v>
      </c>
      <c r="D34" s="61" t="s">
        <v>558</v>
      </c>
      <c r="E34" s="28"/>
      <c r="F34" s="62" t="s">
        <v>106</v>
      </c>
      <c r="G34" s="100" t="s">
        <v>559</v>
      </c>
      <c r="H34" s="100" t="s">
        <v>559</v>
      </c>
      <c r="I34" s="59" t="s">
        <v>560</v>
      </c>
      <c r="J34" s="59" t="s">
        <v>560</v>
      </c>
      <c r="K34" s="65" t="s">
        <v>561</v>
      </c>
      <c r="L34" s="65" t="s">
        <v>562</v>
      </c>
      <c r="M34" s="65" t="s">
        <v>563</v>
      </c>
      <c r="N34" s="65" t="s">
        <v>564</v>
      </c>
      <c r="O34" s="98"/>
      <c r="P34" s="179" t="s">
        <v>565</v>
      </c>
      <c r="Q34" s="100" t="s">
        <v>566</v>
      </c>
      <c r="R34" s="100" t="s">
        <v>567</v>
      </c>
      <c r="S34" s="100" t="s">
        <v>568</v>
      </c>
      <c r="T34" s="100" t="s">
        <v>569</v>
      </c>
      <c r="U34" s="100" t="s">
        <v>570</v>
      </c>
      <c r="V34" s="100" t="s">
        <v>571</v>
      </c>
      <c r="W34" s="100" t="s">
        <v>572</v>
      </c>
      <c r="X34" s="100" t="s">
        <v>573</v>
      </c>
      <c r="Y34" s="100" t="s">
        <v>574</v>
      </c>
      <c r="Z34" s="105"/>
      <c r="AA34" s="59" t="s">
        <v>150</v>
      </c>
      <c r="AB34" s="59" t="s">
        <v>120</v>
      </c>
      <c r="AC34" s="59" t="s">
        <v>545</v>
      </c>
      <c r="AD34" s="131"/>
      <c r="AE34" s="4"/>
      <c r="AF34" s="10"/>
      <c r="AG34" s="28"/>
    </row>
    <row r="35" ht="51.0" customHeight="1">
      <c r="A35" s="9"/>
      <c r="B35" s="26" t="s">
        <v>280</v>
      </c>
      <c r="C35" s="59">
        <v>1.0</v>
      </c>
      <c r="D35" s="61" t="s">
        <v>575</v>
      </c>
      <c r="E35" s="62" t="s">
        <v>106</v>
      </c>
      <c r="F35" s="28"/>
      <c r="G35" s="59" t="s">
        <v>576</v>
      </c>
      <c r="H35" s="178">
        <v>19.0</v>
      </c>
      <c r="I35" s="196">
        <v>19.0</v>
      </c>
      <c r="J35" s="10"/>
      <c r="K35" s="197">
        <v>22.0</v>
      </c>
      <c r="L35" s="10"/>
      <c r="M35" s="65" t="s">
        <v>577</v>
      </c>
      <c r="N35" s="87" t="s">
        <v>578</v>
      </c>
      <c r="O35" s="198"/>
      <c r="P35" s="131" t="s">
        <v>579</v>
      </c>
      <c r="Q35" s="10"/>
      <c r="R35" s="131" t="s">
        <v>580</v>
      </c>
      <c r="S35" s="10"/>
      <c r="T35" s="131" t="s">
        <v>581</v>
      </c>
      <c r="U35" s="10"/>
      <c r="V35" s="131" t="s">
        <v>582</v>
      </c>
      <c r="W35" s="10"/>
      <c r="X35" s="131" t="s">
        <v>583</v>
      </c>
      <c r="Y35" s="10"/>
      <c r="Z35" s="199"/>
      <c r="AA35" s="59" t="s">
        <v>584</v>
      </c>
      <c r="AB35" s="59" t="s">
        <v>585</v>
      </c>
      <c r="AC35" s="200" t="s">
        <v>152</v>
      </c>
      <c r="AD35" s="86" t="s">
        <v>586</v>
      </c>
      <c r="AE35" s="4"/>
      <c r="AF35" s="10"/>
      <c r="AG35" s="28"/>
    </row>
    <row r="36" ht="73.5" customHeight="1">
      <c r="A36" s="9"/>
      <c r="B36" s="9"/>
      <c r="C36" s="59">
        <v>2.0</v>
      </c>
      <c r="D36" s="188" t="s">
        <v>41</v>
      </c>
      <c r="E36" s="62" t="s">
        <v>106</v>
      </c>
      <c r="F36" s="28"/>
      <c r="G36" s="68">
        <v>322.0</v>
      </c>
      <c r="H36" s="146" t="s">
        <v>587</v>
      </c>
      <c r="I36" s="59" t="s">
        <v>588</v>
      </c>
      <c r="J36" s="59" t="s">
        <v>589</v>
      </c>
      <c r="K36" s="65" t="s">
        <v>590</v>
      </c>
      <c r="L36" s="65" t="s">
        <v>591</v>
      </c>
      <c r="M36" s="201" t="s">
        <v>592</v>
      </c>
      <c r="N36" s="87" t="s">
        <v>593</v>
      </c>
      <c r="O36" s="67"/>
      <c r="P36" s="179">
        <v>230.0</v>
      </c>
      <c r="Q36" s="72">
        <v>235.0</v>
      </c>
      <c r="R36" s="72">
        <v>235.0</v>
      </c>
      <c r="S36" s="72">
        <v>235.0</v>
      </c>
      <c r="T36" s="72">
        <v>236.0</v>
      </c>
      <c r="U36" s="72">
        <v>236.0</v>
      </c>
      <c r="V36" s="72">
        <v>237.0</v>
      </c>
      <c r="W36" s="72">
        <v>237.0</v>
      </c>
      <c r="X36" s="72">
        <v>238.0</v>
      </c>
      <c r="Y36" s="72">
        <v>238.0</v>
      </c>
      <c r="Z36" s="202"/>
      <c r="AA36" s="26" t="s">
        <v>594</v>
      </c>
      <c r="AB36" s="59" t="s">
        <v>120</v>
      </c>
      <c r="AC36" s="26" t="s">
        <v>545</v>
      </c>
      <c r="AD36" s="30"/>
      <c r="AE36" s="29"/>
      <c r="AF36" s="24"/>
      <c r="AG36" s="28"/>
    </row>
    <row r="37" ht="56.25" customHeight="1">
      <c r="A37" s="9"/>
      <c r="B37" s="9"/>
      <c r="C37" s="59">
        <v>3.0</v>
      </c>
      <c r="D37" s="188" t="s">
        <v>595</v>
      </c>
      <c r="E37" s="62" t="s">
        <v>106</v>
      </c>
      <c r="F37" s="28"/>
      <c r="G37" s="68">
        <v>222.0</v>
      </c>
      <c r="H37" s="146" t="s">
        <v>596</v>
      </c>
      <c r="I37" s="59" t="s">
        <v>597</v>
      </c>
      <c r="J37" s="59" t="s">
        <v>598</v>
      </c>
      <c r="K37" s="65" t="s">
        <v>599</v>
      </c>
      <c r="L37" s="65" t="s">
        <v>600</v>
      </c>
      <c r="M37" s="92" t="s">
        <v>601</v>
      </c>
      <c r="N37" s="87" t="s">
        <v>602</v>
      </c>
      <c r="O37" s="67"/>
      <c r="P37" s="203">
        <v>190.0</v>
      </c>
      <c r="Q37" s="72">
        <v>200.0</v>
      </c>
      <c r="R37" s="72">
        <v>200.0</v>
      </c>
      <c r="S37" s="72">
        <v>200.0</v>
      </c>
      <c r="T37" s="90" t="s">
        <v>603</v>
      </c>
      <c r="U37" s="90" t="s">
        <v>604</v>
      </c>
      <c r="V37" s="90" t="s">
        <v>605</v>
      </c>
      <c r="W37" s="90" t="s">
        <v>606</v>
      </c>
      <c r="X37" s="90" t="s">
        <v>607</v>
      </c>
      <c r="Y37" s="90" t="s">
        <v>608</v>
      </c>
      <c r="Z37" s="204"/>
      <c r="AA37" s="9"/>
      <c r="AB37" s="59" t="s">
        <v>120</v>
      </c>
      <c r="AC37" s="9"/>
      <c r="AD37" s="33"/>
      <c r="AF37" s="34"/>
      <c r="AG37" s="28"/>
    </row>
    <row r="38" ht="30.0" customHeight="1">
      <c r="A38" s="9"/>
      <c r="B38" s="9"/>
      <c r="C38" s="59">
        <v>4.0</v>
      </c>
      <c r="D38" s="188" t="s">
        <v>42</v>
      </c>
      <c r="E38" s="62" t="s">
        <v>106</v>
      </c>
      <c r="F38" s="28"/>
      <c r="G38" s="68">
        <v>8.0</v>
      </c>
      <c r="H38" s="146" t="s">
        <v>609</v>
      </c>
      <c r="I38" s="59" t="s">
        <v>610</v>
      </c>
      <c r="J38" s="59" t="s">
        <v>611</v>
      </c>
      <c r="K38" s="65" t="s">
        <v>612</v>
      </c>
      <c r="L38" s="65" t="s">
        <v>613</v>
      </c>
      <c r="M38" s="201" t="s">
        <v>614</v>
      </c>
      <c r="N38" s="87" t="s">
        <v>615</v>
      </c>
      <c r="O38" s="67"/>
      <c r="P38" s="124">
        <v>8.0</v>
      </c>
      <c r="Q38" s="72">
        <v>8.0</v>
      </c>
      <c r="R38" s="72">
        <v>8.0</v>
      </c>
      <c r="S38" s="72">
        <v>8.0</v>
      </c>
      <c r="T38" s="90" t="s">
        <v>616</v>
      </c>
      <c r="U38" s="90" t="s">
        <v>617</v>
      </c>
      <c r="V38" s="90" t="s">
        <v>618</v>
      </c>
      <c r="W38" s="90" t="s">
        <v>619</v>
      </c>
      <c r="X38" s="90" t="s">
        <v>620</v>
      </c>
      <c r="Y38" s="90" t="s">
        <v>621</v>
      </c>
      <c r="Z38" s="204"/>
      <c r="AA38" s="9"/>
      <c r="AB38" s="59" t="s">
        <v>120</v>
      </c>
      <c r="AC38" s="9"/>
      <c r="AD38" s="33"/>
      <c r="AF38" s="34"/>
      <c r="AG38" s="28"/>
    </row>
    <row r="39" ht="30.0" customHeight="1">
      <c r="A39" s="9"/>
      <c r="B39" s="9"/>
      <c r="C39" s="59">
        <v>5.0</v>
      </c>
      <c r="D39" s="188" t="s">
        <v>43</v>
      </c>
      <c r="E39" s="62" t="s">
        <v>106</v>
      </c>
      <c r="F39" s="28"/>
      <c r="G39" s="68">
        <v>3.0</v>
      </c>
      <c r="H39" s="146" t="s">
        <v>622</v>
      </c>
      <c r="I39" s="59" t="s">
        <v>623</v>
      </c>
      <c r="J39" s="59" t="s">
        <v>624</v>
      </c>
      <c r="K39" s="65" t="s">
        <v>625</v>
      </c>
      <c r="L39" s="85" t="s">
        <v>626</v>
      </c>
      <c r="M39" s="85" t="s">
        <v>627</v>
      </c>
      <c r="N39" s="66" t="s">
        <v>628</v>
      </c>
      <c r="O39" s="87" t="s">
        <v>629</v>
      </c>
      <c r="P39" s="124">
        <v>3.0</v>
      </c>
      <c r="Q39" s="72">
        <v>3.0</v>
      </c>
      <c r="R39" s="72">
        <v>3.0</v>
      </c>
      <c r="S39" s="72">
        <v>3.0</v>
      </c>
      <c r="T39" s="90" t="s">
        <v>630</v>
      </c>
      <c r="U39" s="90" t="s">
        <v>631</v>
      </c>
      <c r="V39" s="90" t="s">
        <v>632</v>
      </c>
      <c r="W39" s="90" t="s">
        <v>633</v>
      </c>
      <c r="X39" s="90" t="s">
        <v>634</v>
      </c>
      <c r="Y39" s="90" t="s">
        <v>635</v>
      </c>
      <c r="Z39" s="204"/>
      <c r="AA39" s="9"/>
      <c r="AB39" s="59" t="s">
        <v>120</v>
      </c>
      <c r="AC39" s="9"/>
      <c r="AD39" s="33"/>
      <c r="AF39" s="34"/>
      <c r="AG39" s="28"/>
    </row>
    <row r="40" ht="30.0" customHeight="1">
      <c r="A40" s="9"/>
      <c r="B40" s="9"/>
      <c r="C40" s="59">
        <v>6.0</v>
      </c>
      <c r="D40" s="188" t="s">
        <v>45</v>
      </c>
      <c r="E40" s="62" t="s">
        <v>106</v>
      </c>
      <c r="F40" s="28"/>
      <c r="G40" s="68">
        <v>3.0</v>
      </c>
      <c r="H40" s="146" t="s">
        <v>636</v>
      </c>
      <c r="I40" s="59" t="s">
        <v>637</v>
      </c>
      <c r="J40" s="59" t="s">
        <v>638</v>
      </c>
      <c r="K40" s="85" t="s">
        <v>639</v>
      </c>
      <c r="L40" s="85" t="s">
        <v>640</v>
      </c>
      <c r="M40" s="85" t="s">
        <v>641</v>
      </c>
      <c r="N40" s="66" t="s">
        <v>642</v>
      </c>
      <c r="O40" s="87" t="s">
        <v>629</v>
      </c>
      <c r="P40" s="72">
        <v>1.0</v>
      </c>
      <c r="Q40" s="72">
        <v>1.0</v>
      </c>
      <c r="R40" s="72">
        <v>1.0</v>
      </c>
      <c r="S40" s="72">
        <v>1.0</v>
      </c>
      <c r="T40" s="72">
        <v>1.0</v>
      </c>
      <c r="U40" s="72">
        <v>1.0</v>
      </c>
      <c r="V40" s="72">
        <v>1.0</v>
      </c>
      <c r="W40" s="72">
        <v>1.0</v>
      </c>
      <c r="X40" s="72">
        <v>1.0</v>
      </c>
      <c r="Y40" s="72">
        <v>1.0</v>
      </c>
      <c r="Z40" s="204"/>
      <c r="AA40" s="9"/>
      <c r="AB40" s="59" t="s">
        <v>120</v>
      </c>
      <c r="AC40" s="9"/>
      <c r="AD40" s="33"/>
      <c r="AF40" s="34"/>
      <c r="AG40" s="28"/>
    </row>
    <row r="41" ht="318.0" customHeight="1">
      <c r="A41" s="9"/>
      <c r="B41" s="9"/>
      <c r="C41" s="59">
        <v>7.0</v>
      </c>
      <c r="D41" s="188" t="s">
        <v>46</v>
      </c>
      <c r="E41" s="62" t="s">
        <v>106</v>
      </c>
      <c r="F41" s="28"/>
      <c r="G41" s="68">
        <v>0.0</v>
      </c>
      <c r="H41" s="146" t="s">
        <v>643</v>
      </c>
      <c r="I41" s="59" t="s">
        <v>637</v>
      </c>
      <c r="J41" s="59" t="s">
        <v>644</v>
      </c>
      <c r="K41" s="85" t="s">
        <v>639</v>
      </c>
      <c r="L41" s="85" t="s">
        <v>640</v>
      </c>
      <c r="M41" s="85" t="s">
        <v>641</v>
      </c>
      <c r="N41" s="66" t="s">
        <v>642</v>
      </c>
      <c r="O41" s="87" t="s">
        <v>645</v>
      </c>
      <c r="P41" s="124">
        <v>1.0</v>
      </c>
      <c r="Q41" s="124">
        <v>1.0</v>
      </c>
      <c r="R41" s="124">
        <v>1.0</v>
      </c>
      <c r="S41" s="124">
        <v>1.0</v>
      </c>
      <c r="T41" s="124">
        <v>1.0</v>
      </c>
      <c r="U41" s="124">
        <v>1.0</v>
      </c>
      <c r="V41" s="124">
        <v>1.0</v>
      </c>
      <c r="W41" s="124">
        <v>1.0</v>
      </c>
      <c r="X41" s="124">
        <v>1.0</v>
      </c>
      <c r="Y41" s="124">
        <v>1.0</v>
      </c>
      <c r="Z41" s="205"/>
      <c r="AA41" s="9"/>
      <c r="AB41" s="59" t="s">
        <v>120</v>
      </c>
      <c r="AC41" s="9"/>
      <c r="AD41" s="33"/>
      <c r="AF41" s="34"/>
      <c r="AG41" s="28"/>
    </row>
    <row r="42" ht="30.0" customHeight="1">
      <c r="A42" s="9"/>
      <c r="B42" s="9"/>
      <c r="C42" s="59">
        <v>8.0</v>
      </c>
      <c r="D42" s="188" t="s">
        <v>48</v>
      </c>
      <c r="E42" s="62" t="s">
        <v>106</v>
      </c>
      <c r="F42" s="28"/>
      <c r="G42" s="68">
        <v>1.0</v>
      </c>
      <c r="H42" s="146" t="s">
        <v>646</v>
      </c>
      <c r="I42" s="59">
        <v>1.0</v>
      </c>
      <c r="J42" s="59" t="s">
        <v>647</v>
      </c>
      <c r="K42" s="65" t="s">
        <v>648</v>
      </c>
      <c r="L42" s="65" t="s">
        <v>649</v>
      </c>
      <c r="M42" s="85" t="s">
        <v>641</v>
      </c>
      <c r="N42" s="66" t="s">
        <v>628</v>
      </c>
      <c r="O42" s="87" t="s">
        <v>650</v>
      </c>
      <c r="P42" s="124">
        <v>2.0</v>
      </c>
      <c r="Q42" s="124">
        <v>2.0</v>
      </c>
      <c r="R42" s="124">
        <v>2.0</v>
      </c>
      <c r="S42" s="124">
        <v>3.0</v>
      </c>
      <c r="T42" s="124">
        <v>3.0</v>
      </c>
      <c r="U42" s="124">
        <v>3.0</v>
      </c>
      <c r="V42" s="90" t="s">
        <v>651</v>
      </c>
      <c r="W42" s="124">
        <v>4.0</v>
      </c>
      <c r="X42" s="124">
        <v>4.0</v>
      </c>
      <c r="Y42" s="90" t="s">
        <v>652</v>
      </c>
      <c r="Z42" s="176"/>
      <c r="AA42" s="21"/>
      <c r="AB42" s="59" t="s">
        <v>120</v>
      </c>
      <c r="AC42" s="21"/>
      <c r="AD42" s="35"/>
      <c r="AE42" s="37"/>
      <c r="AF42" s="36"/>
      <c r="AG42" s="28"/>
    </row>
    <row r="43" ht="30.0" customHeight="1">
      <c r="A43" s="9"/>
      <c r="B43" s="21"/>
      <c r="C43" s="59">
        <v>9.0</v>
      </c>
      <c r="D43" s="61" t="s">
        <v>653</v>
      </c>
      <c r="E43" s="28"/>
      <c r="F43" s="62" t="s">
        <v>106</v>
      </c>
      <c r="G43" s="206" t="s">
        <v>654</v>
      </c>
      <c r="H43" s="207" t="s">
        <v>654</v>
      </c>
      <c r="I43" s="59" t="s">
        <v>654</v>
      </c>
      <c r="J43" s="59" t="s">
        <v>655</v>
      </c>
      <c r="K43" s="65" t="s">
        <v>656</v>
      </c>
      <c r="L43" s="65" t="s">
        <v>657</v>
      </c>
      <c r="M43" s="96" t="s">
        <v>658</v>
      </c>
      <c r="N43" s="65" t="s">
        <v>659</v>
      </c>
      <c r="O43" s="98"/>
      <c r="P43" s="206" t="s">
        <v>660</v>
      </c>
      <c r="Q43" s="206" t="s">
        <v>660</v>
      </c>
      <c r="R43" s="207" t="s">
        <v>660</v>
      </c>
      <c r="S43" s="207" t="s">
        <v>660</v>
      </c>
      <c r="T43" s="207" t="s">
        <v>660</v>
      </c>
      <c r="U43" s="207" t="s">
        <v>660</v>
      </c>
      <c r="V43" s="207" t="s">
        <v>660</v>
      </c>
      <c r="W43" s="207" t="s">
        <v>660</v>
      </c>
      <c r="X43" s="207" t="s">
        <v>660</v>
      </c>
      <c r="Y43" s="207" t="s">
        <v>660</v>
      </c>
      <c r="Z43" s="208"/>
      <c r="AA43" s="59" t="s">
        <v>150</v>
      </c>
      <c r="AB43" s="59" t="s">
        <v>120</v>
      </c>
      <c r="AC43" s="209" t="s">
        <v>152</v>
      </c>
      <c r="AD43" s="131"/>
      <c r="AE43" s="4"/>
      <c r="AF43" s="10"/>
      <c r="AG43" s="28"/>
    </row>
    <row r="44" ht="30.0" customHeight="1">
      <c r="A44" s="21"/>
      <c r="B44" s="11" t="s">
        <v>661</v>
      </c>
      <c r="C44" s="59">
        <v>1.0</v>
      </c>
      <c r="D44" s="61" t="s">
        <v>662</v>
      </c>
      <c r="E44" s="62" t="s">
        <v>106</v>
      </c>
      <c r="F44" s="28"/>
      <c r="G44" s="68">
        <v>23.61</v>
      </c>
      <c r="H44" s="68">
        <v>22.64</v>
      </c>
      <c r="I44" s="59" t="s">
        <v>663</v>
      </c>
      <c r="J44" s="59" t="s">
        <v>664</v>
      </c>
      <c r="K44" s="65" t="s">
        <v>665</v>
      </c>
      <c r="L44" s="65" t="s">
        <v>666</v>
      </c>
      <c r="M44" s="65" t="s">
        <v>667</v>
      </c>
      <c r="N44" s="87" t="s">
        <v>668</v>
      </c>
      <c r="O44" s="210"/>
      <c r="P44" s="211">
        <v>23.0</v>
      </c>
      <c r="Q44" s="211">
        <v>23.0</v>
      </c>
      <c r="R44" s="211">
        <v>23.0</v>
      </c>
      <c r="S44" s="211">
        <v>23.0</v>
      </c>
      <c r="T44" s="211">
        <v>23.0</v>
      </c>
      <c r="U44" s="211">
        <v>23.0</v>
      </c>
      <c r="V44" s="211">
        <v>23.0</v>
      </c>
      <c r="W44" s="211">
        <v>23.0</v>
      </c>
      <c r="X44" s="211">
        <v>23.0</v>
      </c>
      <c r="Y44" s="211">
        <v>23.0</v>
      </c>
      <c r="Z44" s="212"/>
      <c r="AA44" s="59" t="s">
        <v>669</v>
      </c>
      <c r="AB44" s="59" t="s">
        <v>186</v>
      </c>
      <c r="AC44" s="59" t="s">
        <v>670</v>
      </c>
      <c r="AD44" s="131"/>
      <c r="AE44" s="4"/>
      <c r="AF44" s="10"/>
      <c r="AG44" s="28"/>
    </row>
    <row r="45" ht="30.0" customHeight="1">
      <c r="A45" s="20" t="s">
        <v>671</v>
      </c>
      <c r="B45" s="26" t="s">
        <v>302</v>
      </c>
      <c r="C45" s="59">
        <v>1.0</v>
      </c>
      <c r="D45" s="61" t="s">
        <v>672</v>
      </c>
      <c r="E45" s="28"/>
      <c r="F45" s="62" t="s">
        <v>106</v>
      </c>
      <c r="G45" s="206" t="s">
        <v>673</v>
      </c>
      <c r="H45" s="206" t="s">
        <v>674</v>
      </c>
      <c r="I45" s="59" t="s">
        <v>675</v>
      </c>
      <c r="J45" s="59" t="s">
        <v>676</v>
      </c>
      <c r="K45" s="65" t="s">
        <v>677</v>
      </c>
      <c r="L45" s="65" t="s">
        <v>678</v>
      </c>
      <c r="M45" s="96" t="s">
        <v>679</v>
      </c>
      <c r="N45" s="65" t="s">
        <v>680</v>
      </c>
      <c r="O45" s="98"/>
      <c r="P45" s="207" t="s">
        <v>681</v>
      </c>
      <c r="Q45" s="207" t="s">
        <v>682</v>
      </c>
      <c r="R45" s="207" t="s">
        <v>683</v>
      </c>
      <c r="S45" s="207" t="s">
        <v>684</v>
      </c>
      <c r="T45" s="207" t="s">
        <v>685</v>
      </c>
      <c r="U45" s="207" t="s">
        <v>685</v>
      </c>
      <c r="V45" s="207" t="s">
        <v>686</v>
      </c>
      <c r="W45" s="207" t="s">
        <v>686</v>
      </c>
      <c r="X45" s="207" t="s">
        <v>687</v>
      </c>
      <c r="Y45" s="207" t="s">
        <v>687</v>
      </c>
      <c r="Z45" s="208"/>
      <c r="AA45" s="59" t="s">
        <v>150</v>
      </c>
      <c r="AB45" s="59" t="s">
        <v>186</v>
      </c>
      <c r="AC45" s="59" t="s">
        <v>688</v>
      </c>
      <c r="AD45" s="131"/>
      <c r="AE45" s="4"/>
      <c r="AF45" s="10"/>
      <c r="AG45" s="28"/>
    </row>
    <row r="46" ht="30.0" customHeight="1">
      <c r="A46" s="21"/>
      <c r="B46" s="21"/>
      <c r="C46" s="59">
        <v>2.0</v>
      </c>
      <c r="D46" s="61" t="s">
        <v>689</v>
      </c>
      <c r="E46" s="28"/>
      <c r="F46" s="62" t="s">
        <v>106</v>
      </c>
      <c r="G46" s="206" t="s">
        <v>690</v>
      </c>
      <c r="H46" s="206" t="s">
        <v>690</v>
      </c>
      <c r="I46" s="59" t="s">
        <v>691</v>
      </c>
      <c r="J46" s="59" t="s">
        <v>692</v>
      </c>
      <c r="K46" s="65" t="s">
        <v>693</v>
      </c>
      <c r="L46" s="65" t="s">
        <v>694</v>
      </c>
      <c r="M46" s="96" t="s">
        <v>695</v>
      </c>
      <c r="N46" s="65" t="s">
        <v>696</v>
      </c>
      <c r="O46" s="98"/>
      <c r="P46" s="206" t="s">
        <v>697</v>
      </c>
      <c r="Q46" s="206" t="s">
        <v>697</v>
      </c>
      <c r="R46" s="207" t="s">
        <v>698</v>
      </c>
      <c r="S46" s="207" t="s">
        <v>698</v>
      </c>
      <c r="T46" s="207" t="s">
        <v>699</v>
      </c>
      <c r="U46" s="207" t="s">
        <v>699</v>
      </c>
      <c r="V46" s="207" t="s">
        <v>700</v>
      </c>
      <c r="W46" s="207" t="s">
        <v>700</v>
      </c>
      <c r="X46" s="207" t="s">
        <v>701</v>
      </c>
      <c r="Y46" s="207" t="s">
        <v>701</v>
      </c>
      <c r="Z46" s="208"/>
      <c r="AA46" s="59" t="s">
        <v>150</v>
      </c>
      <c r="AB46" s="59" t="s">
        <v>186</v>
      </c>
      <c r="AC46" s="59" t="s">
        <v>688</v>
      </c>
      <c r="AD46" s="131"/>
      <c r="AE46" s="4"/>
      <c r="AF46" s="10"/>
      <c r="AG46" s="28"/>
    </row>
    <row r="47" ht="30.0" customHeight="1">
      <c r="A47" s="20" t="s">
        <v>21</v>
      </c>
      <c r="B47" s="26" t="s">
        <v>369</v>
      </c>
      <c r="C47" s="59">
        <v>1.0</v>
      </c>
      <c r="D47" s="134" t="s">
        <v>51</v>
      </c>
      <c r="E47" s="62" t="s">
        <v>106</v>
      </c>
      <c r="F47" s="28"/>
      <c r="G47" s="213" t="s">
        <v>702</v>
      </c>
      <c r="H47" s="213" t="s">
        <v>703</v>
      </c>
      <c r="I47" s="136" t="s">
        <v>704</v>
      </c>
      <c r="J47" s="59" t="s">
        <v>705</v>
      </c>
      <c r="K47" s="85" t="s">
        <v>706</v>
      </c>
      <c r="L47" s="85" t="s">
        <v>707</v>
      </c>
      <c r="M47" s="85" t="s">
        <v>708</v>
      </c>
      <c r="N47" s="66" t="s">
        <v>709</v>
      </c>
      <c r="O47" s="67"/>
      <c r="P47" s="179">
        <v>26.0</v>
      </c>
      <c r="Q47" s="124">
        <v>28.0</v>
      </c>
      <c r="R47" s="124">
        <v>102.0</v>
      </c>
      <c r="S47" s="124">
        <v>102.0</v>
      </c>
      <c r="T47" s="147">
        <v>105.0</v>
      </c>
      <c r="U47" s="147">
        <v>105.0</v>
      </c>
      <c r="V47" s="147">
        <v>110.0</v>
      </c>
      <c r="W47" s="147">
        <v>110.0</v>
      </c>
      <c r="X47" s="147">
        <v>115.0</v>
      </c>
      <c r="Y47" s="147">
        <v>115.0</v>
      </c>
      <c r="Z47" s="140" t="s">
        <v>710</v>
      </c>
      <c r="AA47" s="214" t="s">
        <v>240</v>
      </c>
      <c r="AB47" s="59" t="s">
        <v>186</v>
      </c>
      <c r="AC47" s="59" t="s">
        <v>711</v>
      </c>
      <c r="AD47" s="86" t="s">
        <v>712</v>
      </c>
      <c r="AE47" s="4"/>
      <c r="AF47" s="10"/>
      <c r="AG47" s="143"/>
    </row>
    <row r="48" ht="30.0" customHeight="1">
      <c r="A48" s="9"/>
      <c r="B48" s="9"/>
      <c r="C48" s="59">
        <v>2.0</v>
      </c>
      <c r="D48" s="134" t="s">
        <v>54</v>
      </c>
      <c r="E48" s="62" t="s">
        <v>106</v>
      </c>
      <c r="F48" s="28"/>
      <c r="G48" s="215" t="s">
        <v>713</v>
      </c>
      <c r="H48" s="215" t="s">
        <v>714</v>
      </c>
      <c r="I48" s="216" t="s">
        <v>715</v>
      </c>
      <c r="J48" s="59" t="s">
        <v>716</v>
      </c>
      <c r="K48" s="65" t="s">
        <v>717</v>
      </c>
      <c r="L48" s="85" t="s">
        <v>718</v>
      </c>
      <c r="M48" s="85" t="s">
        <v>719</v>
      </c>
      <c r="N48" s="66" t="s">
        <v>720</v>
      </c>
      <c r="O48" s="87" t="s">
        <v>721</v>
      </c>
      <c r="P48" s="203">
        <v>1366.0</v>
      </c>
      <c r="Q48" s="124">
        <v>1366.0</v>
      </c>
      <c r="R48" s="124">
        <v>2211.0</v>
      </c>
      <c r="S48" s="124">
        <v>2211.0</v>
      </c>
      <c r="T48" s="147">
        <v>2220.0</v>
      </c>
      <c r="U48" s="147">
        <v>2220.0</v>
      </c>
      <c r="V48" s="147">
        <v>2230.0</v>
      </c>
      <c r="W48" s="147">
        <v>2230.0</v>
      </c>
      <c r="X48" s="147">
        <v>2240.0</v>
      </c>
      <c r="Y48" s="147">
        <v>2240.0</v>
      </c>
      <c r="Z48" s="140" t="s">
        <v>722</v>
      </c>
      <c r="AA48" s="214" t="s">
        <v>240</v>
      </c>
      <c r="AB48" s="59" t="s">
        <v>186</v>
      </c>
      <c r="AC48" s="59" t="s">
        <v>723</v>
      </c>
      <c r="AD48" s="131"/>
      <c r="AE48" s="4"/>
      <c r="AF48" s="10"/>
      <c r="AG48" s="143"/>
    </row>
    <row r="49" ht="66.0" customHeight="1">
      <c r="A49" s="9"/>
      <c r="B49" s="9"/>
      <c r="C49" s="59">
        <v>3.0</v>
      </c>
      <c r="D49" s="61" t="s">
        <v>724</v>
      </c>
      <c r="E49" s="62" t="s">
        <v>106</v>
      </c>
      <c r="F49" s="28"/>
      <c r="G49" s="59" t="s">
        <v>725</v>
      </c>
      <c r="H49" s="209" t="s">
        <v>726</v>
      </c>
      <c r="I49" s="59" t="s">
        <v>663</v>
      </c>
      <c r="J49" s="131" t="s">
        <v>727</v>
      </c>
      <c r="K49" s="197" t="s">
        <v>728</v>
      </c>
      <c r="L49" s="10"/>
      <c r="M49" s="197" t="s">
        <v>729</v>
      </c>
      <c r="N49" s="10"/>
      <c r="O49" s="217"/>
      <c r="P49" s="131" t="s">
        <v>727</v>
      </c>
      <c r="Q49" s="10"/>
      <c r="R49" s="218" t="s">
        <v>730</v>
      </c>
      <c r="S49" s="10"/>
      <c r="T49" s="218" t="s">
        <v>729</v>
      </c>
      <c r="U49" s="10"/>
      <c r="V49" s="218" t="s">
        <v>731</v>
      </c>
      <c r="W49" s="10"/>
      <c r="X49" s="218" t="s">
        <v>732</v>
      </c>
      <c r="Y49" s="10"/>
      <c r="Z49" s="219"/>
      <c r="AA49" s="178" t="s">
        <v>150</v>
      </c>
      <c r="AB49" s="59" t="s">
        <v>733</v>
      </c>
      <c r="AC49" s="59" t="s">
        <v>187</v>
      </c>
      <c r="AD49" s="86" t="s">
        <v>734</v>
      </c>
      <c r="AE49" s="4"/>
      <c r="AF49" s="10"/>
      <c r="AG49" s="28"/>
    </row>
    <row r="50" ht="30.0" customHeight="1">
      <c r="A50" s="9"/>
      <c r="B50" s="21"/>
      <c r="C50" s="59">
        <v>4.0</v>
      </c>
      <c r="D50" s="61" t="s">
        <v>735</v>
      </c>
      <c r="E50" s="28"/>
      <c r="F50" s="62" t="s">
        <v>106</v>
      </c>
      <c r="G50" s="206" t="s">
        <v>736</v>
      </c>
      <c r="H50" s="206" t="s">
        <v>737</v>
      </c>
      <c r="I50" s="59" t="s">
        <v>738</v>
      </c>
      <c r="J50" s="59" t="s">
        <v>739</v>
      </c>
      <c r="K50" s="65" t="s">
        <v>740</v>
      </c>
      <c r="L50" s="65" t="s">
        <v>741</v>
      </c>
      <c r="M50" s="96" t="s">
        <v>742</v>
      </c>
      <c r="N50" s="96" t="s">
        <v>743</v>
      </c>
      <c r="O50" s="98"/>
      <c r="P50" s="206" t="s">
        <v>744</v>
      </c>
      <c r="Q50" s="206" t="s">
        <v>744</v>
      </c>
      <c r="R50" s="207" t="s">
        <v>744</v>
      </c>
      <c r="S50" s="207" t="s">
        <v>744</v>
      </c>
      <c r="T50" s="207" t="s">
        <v>744</v>
      </c>
      <c r="U50" s="207" t="s">
        <v>744</v>
      </c>
      <c r="V50" s="207" t="s">
        <v>744</v>
      </c>
      <c r="W50" s="207" t="s">
        <v>744</v>
      </c>
      <c r="X50" s="207" t="s">
        <v>744</v>
      </c>
      <c r="Y50" s="207" t="s">
        <v>744</v>
      </c>
      <c r="Z50" s="208"/>
      <c r="AA50" s="59" t="s">
        <v>150</v>
      </c>
      <c r="AB50" s="59" t="s">
        <v>186</v>
      </c>
      <c r="AC50" s="59" t="s">
        <v>187</v>
      </c>
      <c r="AD50" s="131"/>
      <c r="AE50" s="4"/>
      <c r="AF50" s="10"/>
      <c r="AG50" s="28"/>
    </row>
    <row r="51" ht="183.0" customHeight="1">
      <c r="A51" s="9"/>
      <c r="B51" s="26" t="s">
        <v>385</v>
      </c>
      <c r="C51" s="59">
        <v>1.0</v>
      </c>
      <c r="D51" s="188" t="s">
        <v>745</v>
      </c>
      <c r="E51" s="62" t="s">
        <v>106</v>
      </c>
      <c r="F51" s="28"/>
      <c r="G51" s="209" t="s">
        <v>746</v>
      </c>
      <c r="H51" s="209" t="s">
        <v>747</v>
      </c>
      <c r="I51" s="131" t="s">
        <v>748</v>
      </c>
      <c r="J51" s="10"/>
      <c r="K51" s="220" t="s">
        <v>749</v>
      </c>
      <c r="L51" s="10"/>
      <c r="M51" s="221" t="s">
        <v>750</v>
      </c>
      <c r="N51" s="10"/>
      <c r="O51" s="87" t="s">
        <v>751</v>
      </c>
      <c r="P51" s="131" t="s">
        <v>752</v>
      </c>
      <c r="Q51" s="10"/>
      <c r="R51" s="218" t="s">
        <v>753</v>
      </c>
      <c r="S51" s="10"/>
      <c r="T51" s="218" t="s">
        <v>754</v>
      </c>
      <c r="U51" s="10"/>
      <c r="V51" s="218" t="s">
        <v>755</v>
      </c>
      <c r="W51" s="10"/>
      <c r="X51" s="218" t="s">
        <v>756</v>
      </c>
      <c r="Y51" s="10"/>
      <c r="Z51" s="219"/>
      <c r="AA51" s="59" t="s">
        <v>757</v>
      </c>
      <c r="AB51" s="59" t="s">
        <v>758</v>
      </c>
      <c r="AC51" s="200" t="s">
        <v>152</v>
      </c>
      <c r="AD51" s="86"/>
      <c r="AE51" s="4"/>
      <c r="AF51" s="10"/>
      <c r="AG51" s="222"/>
    </row>
    <row r="52" ht="112.5" customHeight="1">
      <c r="A52" s="9"/>
      <c r="B52" s="9"/>
      <c r="C52" s="59">
        <v>2.0</v>
      </c>
      <c r="D52" s="188" t="s">
        <v>759</v>
      </c>
      <c r="E52" s="62" t="s">
        <v>106</v>
      </c>
      <c r="F52" s="28"/>
      <c r="G52" s="59" t="s">
        <v>760</v>
      </c>
      <c r="H52" s="172" t="s">
        <v>761</v>
      </c>
      <c r="I52" s="59" t="s">
        <v>663</v>
      </c>
      <c r="J52" s="131" t="s">
        <v>762</v>
      </c>
      <c r="K52" s="197" t="s">
        <v>763</v>
      </c>
      <c r="L52" s="10"/>
      <c r="M52" s="221" t="s">
        <v>764</v>
      </c>
      <c r="N52" s="10"/>
      <c r="O52" s="217"/>
      <c r="P52" s="223">
        <v>45.0</v>
      </c>
      <c r="Q52" s="10"/>
      <c r="R52" s="224">
        <v>45.0</v>
      </c>
      <c r="S52" s="10"/>
      <c r="T52" s="224">
        <v>45.0</v>
      </c>
      <c r="U52" s="10"/>
      <c r="V52" s="224">
        <v>48.0</v>
      </c>
      <c r="W52" s="10"/>
      <c r="X52" s="224">
        <v>50.0</v>
      </c>
      <c r="Y52" s="10"/>
      <c r="Z52" s="225"/>
      <c r="AA52" s="59" t="s">
        <v>765</v>
      </c>
      <c r="AB52" s="59" t="s">
        <v>758</v>
      </c>
      <c r="AC52" s="59" t="s">
        <v>187</v>
      </c>
      <c r="AD52" s="86"/>
      <c r="AE52" s="4"/>
      <c r="AF52" s="10"/>
      <c r="AG52" s="28"/>
    </row>
    <row r="53" ht="82.5" customHeight="1">
      <c r="A53" s="9"/>
      <c r="B53" s="9"/>
      <c r="C53" s="59">
        <v>3.0</v>
      </c>
      <c r="D53" s="188" t="s">
        <v>766</v>
      </c>
      <c r="E53" s="62" t="s">
        <v>106</v>
      </c>
      <c r="F53" s="28"/>
      <c r="G53" s="59" t="s">
        <v>767</v>
      </c>
      <c r="H53" s="172" t="s">
        <v>768</v>
      </c>
      <c r="I53" s="59" t="s">
        <v>663</v>
      </c>
      <c r="J53" s="131" t="s">
        <v>769</v>
      </c>
      <c r="K53" s="220" t="s">
        <v>770</v>
      </c>
      <c r="L53" s="10"/>
      <c r="M53" s="226" t="s">
        <v>771</v>
      </c>
      <c r="N53" s="10"/>
      <c r="O53" s="217"/>
      <c r="P53" s="2">
        <v>13.0</v>
      </c>
      <c r="Q53" s="10"/>
      <c r="R53" s="224">
        <v>15.0</v>
      </c>
      <c r="S53" s="10"/>
      <c r="T53" s="224">
        <v>17.0</v>
      </c>
      <c r="U53" s="10"/>
      <c r="V53" s="224">
        <v>20.0</v>
      </c>
      <c r="W53" s="10"/>
      <c r="X53" s="224">
        <v>23.0</v>
      </c>
      <c r="Y53" s="10"/>
      <c r="Z53" s="225"/>
      <c r="AA53" s="59" t="s">
        <v>772</v>
      </c>
      <c r="AB53" s="59" t="s">
        <v>733</v>
      </c>
      <c r="AC53" s="59" t="s">
        <v>187</v>
      </c>
      <c r="AD53" s="86"/>
      <c r="AE53" s="4"/>
      <c r="AF53" s="10"/>
      <c r="AG53" s="227"/>
    </row>
    <row r="54" ht="173.25" customHeight="1">
      <c r="A54" s="9"/>
      <c r="B54" s="9"/>
      <c r="C54" s="59">
        <v>4.0</v>
      </c>
      <c r="D54" s="188" t="s">
        <v>773</v>
      </c>
      <c r="E54" s="62" t="s">
        <v>106</v>
      </c>
      <c r="F54" s="28"/>
      <c r="G54" s="59" t="s">
        <v>774</v>
      </c>
      <c r="H54" s="172" t="s">
        <v>775</v>
      </c>
      <c r="I54" s="59" t="s">
        <v>663</v>
      </c>
      <c r="J54" s="131" t="s">
        <v>776</v>
      </c>
      <c r="K54" s="220" t="s">
        <v>777</v>
      </c>
      <c r="L54" s="10"/>
      <c r="M54" s="226" t="s">
        <v>778</v>
      </c>
      <c r="N54" s="10"/>
      <c r="O54" s="87" t="s">
        <v>779</v>
      </c>
      <c r="P54" s="2">
        <v>1.0</v>
      </c>
      <c r="Q54" s="10"/>
      <c r="R54" s="224">
        <v>2.0</v>
      </c>
      <c r="S54" s="10"/>
      <c r="T54" s="224">
        <v>2.0</v>
      </c>
      <c r="U54" s="10"/>
      <c r="V54" s="224">
        <v>3.0</v>
      </c>
      <c r="W54" s="10"/>
      <c r="X54" s="224">
        <v>3.0</v>
      </c>
      <c r="Y54" s="10"/>
      <c r="Z54" s="225"/>
      <c r="AA54" s="59" t="s">
        <v>780</v>
      </c>
      <c r="AB54" s="59" t="s">
        <v>733</v>
      </c>
      <c r="AC54" s="59" t="s">
        <v>187</v>
      </c>
      <c r="AD54" s="86"/>
      <c r="AE54" s="4"/>
      <c r="AF54" s="10"/>
      <c r="AG54" s="28"/>
    </row>
    <row r="55" ht="369.75" customHeight="1">
      <c r="A55" s="21"/>
      <c r="B55" s="21"/>
      <c r="C55" s="59">
        <v>5.0</v>
      </c>
      <c r="D55" s="61" t="s">
        <v>781</v>
      </c>
      <c r="E55" s="28"/>
      <c r="F55" s="62" t="s">
        <v>106</v>
      </c>
      <c r="G55" s="228" t="s">
        <v>782</v>
      </c>
      <c r="H55" s="10"/>
      <c r="I55" s="59" t="s">
        <v>663</v>
      </c>
      <c r="J55" s="131" t="s">
        <v>783</v>
      </c>
      <c r="K55" s="197" t="s">
        <v>784</v>
      </c>
      <c r="L55" s="10"/>
      <c r="M55" s="197" t="s">
        <v>785</v>
      </c>
      <c r="N55" s="10"/>
      <c r="O55" s="98"/>
      <c r="P55" s="169" t="s">
        <v>786</v>
      </c>
      <c r="Q55" s="10"/>
      <c r="R55" s="229" t="s">
        <v>786</v>
      </c>
      <c r="S55" s="10"/>
      <c r="T55" s="229" t="s">
        <v>786</v>
      </c>
      <c r="U55" s="10"/>
      <c r="V55" s="229" t="s">
        <v>786</v>
      </c>
      <c r="W55" s="10"/>
      <c r="X55" s="229" t="s">
        <v>786</v>
      </c>
      <c r="Y55" s="10"/>
      <c r="Z55" s="230"/>
      <c r="AA55" s="59" t="s">
        <v>150</v>
      </c>
      <c r="AB55" s="59" t="s">
        <v>733</v>
      </c>
      <c r="AC55" s="59" t="s">
        <v>187</v>
      </c>
      <c r="AD55" s="86"/>
      <c r="AE55" s="4"/>
      <c r="AF55" s="10"/>
      <c r="AG55" s="28"/>
    </row>
    <row r="56" ht="30.0" customHeight="1">
      <c r="A56" s="20" t="s">
        <v>30</v>
      </c>
      <c r="B56" s="11" t="s">
        <v>787</v>
      </c>
      <c r="C56" s="59">
        <v>1.0</v>
      </c>
      <c r="D56" s="61" t="s">
        <v>788</v>
      </c>
      <c r="E56" s="62" t="s">
        <v>106</v>
      </c>
      <c r="F56" s="28"/>
      <c r="G56" s="231" t="s">
        <v>789</v>
      </c>
      <c r="H56" s="4"/>
      <c r="I56" s="4"/>
      <c r="J56" s="4"/>
      <c r="K56" s="4"/>
      <c r="L56" s="4"/>
      <c r="M56" s="4"/>
      <c r="N56" s="4"/>
      <c r="O56" s="4"/>
      <c r="P56" s="4"/>
      <c r="Q56" s="4"/>
      <c r="R56" s="4"/>
      <c r="S56" s="4"/>
      <c r="T56" s="4"/>
      <c r="U56" s="4"/>
      <c r="V56" s="4"/>
      <c r="W56" s="4"/>
      <c r="X56" s="10"/>
      <c r="Y56" s="232"/>
      <c r="Z56" s="232"/>
      <c r="AA56" s="59" t="s">
        <v>790</v>
      </c>
      <c r="AB56" s="59" t="s">
        <v>585</v>
      </c>
      <c r="AC56" s="59" t="s">
        <v>274</v>
      </c>
      <c r="AD56" s="131"/>
      <c r="AE56" s="4"/>
      <c r="AF56" s="10"/>
      <c r="AG56" s="28"/>
    </row>
    <row r="57" ht="147.0" customHeight="1">
      <c r="A57" s="9"/>
      <c r="B57" s="233" t="s">
        <v>413</v>
      </c>
      <c r="C57" s="59">
        <v>1.0</v>
      </c>
      <c r="D57" s="61" t="s">
        <v>413</v>
      </c>
      <c r="E57" s="234"/>
      <c r="F57" s="234" t="s">
        <v>106</v>
      </c>
      <c r="G57" s="17" t="s">
        <v>791</v>
      </c>
      <c r="H57" s="17" t="s">
        <v>791</v>
      </c>
      <c r="I57" s="17" t="s">
        <v>791</v>
      </c>
      <c r="J57" s="131" t="s">
        <v>792</v>
      </c>
      <c r="K57" s="65" t="s">
        <v>793</v>
      </c>
      <c r="L57" s="65" t="s">
        <v>794</v>
      </c>
      <c r="M57" s="96" t="s">
        <v>795</v>
      </c>
      <c r="N57" s="96" t="s">
        <v>796</v>
      </c>
      <c r="O57" s="98"/>
      <c r="P57" s="17" t="s">
        <v>791</v>
      </c>
      <c r="Q57" s="17" t="s">
        <v>791</v>
      </c>
      <c r="R57" s="103" t="s">
        <v>791</v>
      </c>
      <c r="S57" s="103" t="s">
        <v>791</v>
      </c>
      <c r="T57" s="103" t="s">
        <v>791</v>
      </c>
      <c r="U57" s="103" t="s">
        <v>791</v>
      </c>
      <c r="V57" s="103" t="s">
        <v>791</v>
      </c>
      <c r="W57" s="103" t="s">
        <v>791</v>
      </c>
      <c r="X57" s="103" t="s">
        <v>791</v>
      </c>
      <c r="Y57" s="103" t="s">
        <v>791</v>
      </c>
      <c r="Z57" s="122"/>
      <c r="AA57" s="59" t="s">
        <v>150</v>
      </c>
      <c r="AB57" s="59" t="s">
        <v>186</v>
      </c>
      <c r="AC57" s="235" t="s">
        <v>483</v>
      </c>
      <c r="AD57" s="86"/>
      <c r="AE57" s="4"/>
      <c r="AF57" s="10"/>
      <c r="AG57" s="82"/>
    </row>
    <row r="58" ht="30.0" customHeight="1">
      <c r="A58" s="9"/>
      <c r="B58" s="26" t="s">
        <v>493</v>
      </c>
      <c r="C58" s="59">
        <v>1.0</v>
      </c>
      <c r="D58" s="61" t="s">
        <v>797</v>
      </c>
      <c r="E58" s="62" t="s">
        <v>106</v>
      </c>
      <c r="F58" s="28"/>
      <c r="G58" s="91" t="s">
        <v>798</v>
      </c>
      <c r="H58" s="91" t="s">
        <v>799</v>
      </c>
      <c r="I58" s="59" t="s">
        <v>800</v>
      </c>
      <c r="J58" s="131" t="s">
        <v>801</v>
      </c>
      <c r="K58" s="65" t="s">
        <v>802</v>
      </c>
      <c r="L58" s="65" t="s">
        <v>803</v>
      </c>
      <c r="M58" s="96" t="s">
        <v>804</v>
      </c>
      <c r="N58" s="96" t="s">
        <v>805</v>
      </c>
      <c r="O58" s="67"/>
      <c r="P58" s="179" t="s">
        <v>799</v>
      </c>
      <c r="Q58" s="179" t="s">
        <v>799</v>
      </c>
      <c r="R58" s="103" t="s">
        <v>806</v>
      </c>
      <c r="S58" s="103" t="s">
        <v>806</v>
      </c>
      <c r="T58" s="103" t="s">
        <v>806</v>
      </c>
      <c r="U58" s="103" t="s">
        <v>806</v>
      </c>
      <c r="V58" s="103" t="s">
        <v>807</v>
      </c>
      <c r="W58" s="103" t="s">
        <v>807</v>
      </c>
      <c r="X58" s="103" t="s">
        <v>807</v>
      </c>
      <c r="Y58" s="103" t="s">
        <v>807</v>
      </c>
      <c r="Z58" s="122"/>
      <c r="AA58" s="59" t="s">
        <v>150</v>
      </c>
      <c r="AB58" s="59" t="s">
        <v>186</v>
      </c>
      <c r="AC58" s="236" t="s">
        <v>524</v>
      </c>
      <c r="AD58" s="131"/>
      <c r="AE58" s="4"/>
      <c r="AF58" s="10"/>
      <c r="AG58" s="82" t="s">
        <v>808</v>
      </c>
    </row>
    <row r="59" ht="148.5" customHeight="1">
      <c r="A59" s="21"/>
      <c r="B59" s="21"/>
      <c r="C59" s="59">
        <v>2.0</v>
      </c>
      <c r="D59" s="61" t="s">
        <v>809</v>
      </c>
      <c r="E59" s="28"/>
      <c r="F59" s="62" t="s">
        <v>106</v>
      </c>
      <c r="G59" s="179" t="s">
        <v>810</v>
      </c>
      <c r="H59" s="179" t="s">
        <v>810</v>
      </c>
      <c r="I59" s="131" t="s">
        <v>810</v>
      </c>
      <c r="J59" s="131" t="s">
        <v>811</v>
      </c>
      <c r="K59" s="65" t="s">
        <v>812</v>
      </c>
      <c r="L59" s="65" t="s">
        <v>813</v>
      </c>
      <c r="M59" s="96" t="s">
        <v>814</v>
      </c>
      <c r="N59" s="96" t="s">
        <v>815</v>
      </c>
      <c r="O59" s="98"/>
      <c r="P59" s="179" t="s">
        <v>810</v>
      </c>
      <c r="Q59" s="179" t="s">
        <v>810</v>
      </c>
      <c r="R59" s="103" t="s">
        <v>810</v>
      </c>
      <c r="S59" s="103" t="s">
        <v>810</v>
      </c>
      <c r="T59" s="103" t="s">
        <v>810</v>
      </c>
      <c r="U59" s="103" t="s">
        <v>810</v>
      </c>
      <c r="V59" s="103" t="s">
        <v>810</v>
      </c>
      <c r="W59" s="103" t="s">
        <v>810</v>
      </c>
      <c r="X59" s="103" t="s">
        <v>810</v>
      </c>
      <c r="Y59" s="103" t="s">
        <v>810</v>
      </c>
      <c r="Z59" s="122"/>
      <c r="AA59" s="59" t="s">
        <v>150</v>
      </c>
      <c r="AB59" s="59" t="s">
        <v>186</v>
      </c>
      <c r="AC59" s="21"/>
      <c r="AD59" s="86"/>
      <c r="AE59" s="4"/>
      <c r="AF59" s="10"/>
      <c r="AG59" s="28"/>
    </row>
    <row r="60" ht="195.0" customHeight="1">
      <c r="A60" s="237" t="s">
        <v>816</v>
      </c>
      <c r="B60" s="11" t="s">
        <v>817</v>
      </c>
      <c r="C60" s="59">
        <v>1.0</v>
      </c>
      <c r="D60" s="61" t="s">
        <v>818</v>
      </c>
      <c r="E60" s="62"/>
      <c r="F60" s="62" t="s">
        <v>106</v>
      </c>
      <c r="G60" s="100" t="s">
        <v>819</v>
      </c>
      <c r="H60" s="238" t="s">
        <v>820</v>
      </c>
      <c r="I60" s="59" t="s">
        <v>821</v>
      </c>
      <c r="J60" s="59" t="s">
        <v>822</v>
      </c>
      <c r="K60" s="197" t="s">
        <v>823</v>
      </c>
      <c r="L60" s="10"/>
      <c r="M60" s="239" t="s">
        <v>824</v>
      </c>
      <c r="N60" s="10"/>
      <c r="O60" s="98"/>
      <c r="P60" s="169" t="s">
        <v>825</v>
      </c>
      <c r="Q60" s="10"/>
      <c r="R60" s="229" t="s">
        <v>826</v>
      </c>
      <c r="S60" s="10"/>
      <c r="T60" s="229" t="s">
        <v>826</v>
      </c>
      <c r="U60" s="10"/>
      <c r="V60" s="229" t="s">
        <v>827</v>
      </c>
      <c r="W60" s="10"/>
      <c r="X60" s="229" t="s">
        <v>828</v>
      </c>
      <c r="Y60" s="10"/>
      <c r="Z60" s="230"/>
      <c r="AA60" s="59" t="s">
        <v>150</v>
      </c>
      <c r="AB60" s="59" t="s">
        <v>585</v>
      </c>
      <c r="AC60" s="59" t="s">
        <v>829</v>
      </c>
      <c r="AD60" s="240"/>
      <c r="AE60" s="4"/>
      <c r="AF60" s="10"/>
      <c r="AG60" s="28"/>
    </row>
    <row r="61" ht="131.25" customHeight="1">
      <c r="A61" s="241"/>
      <c r="B61" s="26" t="s">
        <v>830</v>
      </c>
      <c r="C61" s="59">
        <v>1.0</v>
      </c>
      <c r="D61" s="61" t="s">
        <v>831</v>
      </c>
      <c r="E61" s="62" t="s">
        <v>106</v>
      </c>
      <c r="F61" s="62"/>
      <c r="G61" s="59" t="s">
        <v>585</v>
      </c>
      <c r="H61" s="59" t="s">
        <v>585</v>
      </c>
      <c r="I61" s="59" t="s">
        <v>585</v>
      </c>
      <c r="J61" s="59" t="s">
        <v>585</v>
      </c>
      <c r="K61" s="197" t="s">
        <v>832</v>
      </c>
      <c r="L61" s="10"/>
      <c r="M61" s="239" t="s">
        <v>824</v>
      </c>
      <c r="N61" s="10"/>
      <c r="O61" s="98"/>
      <c r="P61" s="169"/>
      <c r="Q61" s="10"/>
      <c r="R61" s="242" t="s">
        <v>585</v>
      </c>
      <c r="S61" s="10"/>
      <c r="T61" s="243">
        <v>0.7</v>
      </c>
      <c r="U61" s="10"/>
      <c r="V61" s="243">
        <v>0.73</v>
      </c>
      <c r="W61" s="10"/>
      <c r="X61" s="243">
        <v>0.75</v>
      </c>
      <c r="Y61" s="10"/>
      <c r="Z61" s="244"/>
      <c r="AA61" s="59"/>
      <c r="AB61" s="59" t="s">
        <v>585</v>
      </c>
      <c r="AC61" s="59" t="s">
        <v>833</v>
      </c>
      <c r="AD61" s="240"/>
      <c r="AE61" s="4"/>
      <c r="AF61" s="10"/>
      <c r="AG61" s="28"/>
    </row>
    <row r="62" ht="30.0" customHeight="1">
      <c r="A62" s="241"/>
      <c r="B62" s="21"/>
      <c r="C62" s="59">
        <v>2.0</v>
      </c>
      <c r="D62" s="61" t="s">
        <v>834</v>
      </c>
      <c r="E62" s="62" t="s">
        <v>106</v>
      </c>
      <c r="F62" s="62"/>
      <c r="G62" s="59" t="s">
        <v>585</v>
      </c>
      <c r="H62" s="59" t="s">
        <v>585</v>
      </c>
      <c r="I62" s="59" t="s">
        <v>585</v>
      </c>
      <c r="J62" s="59" t="s">
        <v>585</v>
      </c>
      <c r="K62" s="197" t="s">
        <v>835</v>
      </c>
      <c r="L62" s="10"/>
      <c r="M62" s="239" t="s">
        <v>824</v>
      </c>
      <c r="N62" s="10"/>
      <c r="O62" s="98"/>
      <c r="P62" s="169"/>
      <c r="Q62" s="10"/>
      <c r="R62" s="242" t="s">
        <v>585</v>
      </c>
      <c r="S62" s="10"/>
      <c r="T62" s="218">
        <v>500.0</v>
      </c>
      <c r="U62" s="10"/>
      <c r="V62" s="218">
        <v>580.0</v>
      </c>
      <c r="W62" s="10"/>
      <c r="X62" s="218">
        <v>660.0</v>
      </c>
      <c r="Y62" s="10"/>
      <c r="Z62" s="244"/>
      <c r="AA62" s="59"/>
      <c r="AB62" s="59" t="s">
        <v>585</v>
      </c>
      <c r="AC62" s="59" t="s">
        <v>833</v>
      </c>
      <c r="AD62" s="240"/>
      <c r="AE62" s="4"/>
      <c r="AF62" s="10"/>
      <c r="AG62" s="28"/>
    </row>
    <row r="63" ht="273.75" customHeight="1">
      <c r="A63" s="245"/>
      <c r="B63" s="11" t="s">
        <v>836</v>
      </c>
      <c r="C63" s="59">
        <v>1.0</v>
      </c>
      <c r="D63" s="61" t="s">
        <v>837</v>
      </c>
      <c r="E63" s="62"/>
      <c r="F63" s="62" t="s">
        <v>106</v>
      </c>
      <c r="G63" s="59" t="s">
        <v>585</v>
      </c>
      <c r="H63" s="59" t="s">
        <v>585</v>
      </c>
      <c r="I63" s="59" t="s">
        <v>585</v>
      </c>
      <c r="J63" s="59" t="s">
        <v>585</v>
      </c>
      <c r="K63" s="197" t="s">
        <v>838</v>
      </c>
      <c r="L63" s="10"/>
      <c r="M63" s="239" t="s">
        <v>824</v>
      </c>
      <c r="N63" s="10"/>
      <c r="O63" s="98"/>
      <c r="P63" s="169"/>
      <c r="Q63" s="10"/>
      <c r="R63" s="242" t="s">
        <v>585</v>
      </c>
      <c r="S63" s="10"/>
      <c r="T63" s="147" t="s">
        <v>839</v>
      </c>
      <c r="U63" s="147" t="s">
        <v>839</v>
      </c>
      <c r="V63" s="147" t="s">
        <v>839</v>
      </c>
      <c r="W63" s="147" t="s">
        <v>839</v>
      </c>
      <c r="X63" s="147" t="s">
        <v>839</v>
      </c>
      <c r="Y63" s="147" t="s">
        <v>839</v>
      </c>
      <c r="Z63" s="230"/>
      <c r="AA63" s="59"/>
      <c r="AB63" s="59" t="s">
        <v>585</v>
      </c>
      <c r="AC63" s="59" t="s">
        <v>545</v>
      </c>
      <c r="AD63" s="240"/>
      <c r="AE63" s="4"/>
      <c r="AF63" s="10"/>
      <c r="AG63" s="28"/>
    </row>
    <row r="64" ht="30.0" customHeight="1">
      <c r="D64" s="246"/>
      <c r="K64" s="246"/>
      <c r="L64" s="246"/>
      <c r="M64" s="246"/>
      <c r="N64" s="246"/>
    </row>
    <row r="65" ht="30.0" customHeight="1">
      <c r="D65" s="246"/>
      <c r="K65" s="246"/>
      <c r="L65" s="246"/>
      <c r="M65" s="246"/>
      <c r="N65" s="246"/>
    </row>
    <row r="66" ht="30.0" customHeight="1">
      <c r="D66" s="246"/>
      <c r="K66" s="246"/>
      <c r="L66" s="246"/>
      <c r="M66" s="246"/>
      <c r="N66" s="246"/>
    </row>
    <row r="67" ht="30.0" customHeight="1">
      <c r="D67" s="246"/>
      <c r="K67" s="246"/>
      <c r="L67" s="246"/>
      <c r="M67" s="246"/>
      <c r="N67" s="246"/>
    </row>
    <row r="68" ht="30.0" customHeight="1">
      <c r="D68" s="246"/>
      <c r="K68" s="246"/>
      <c r="L68" s="246"/>
      <c r="M68" s="246"/>
      <c r="N68" s="246"/>
    </row>
    <row r="69" ht="30.0" customHeight="1">
      <c r="D69" s="246"/>
      <c r="K69" s="246"/>
      <c r="L69" s="246"/>
      <c r="M69" s="246"/>
      <c r="N69" s="246"/>
    </row>
    <row r="70" ht="30.0" customHeight="1">
      <c r="D70" s="246"/>
      <c r="K70" s="246"/>
      <c r="L70" s="246"/>
      <c r="M70" s="246"/>
      <c r="N70" s="246"/>
    </row>
    <row r="71" ht="30.0" customHeight="1">
      <c r="D71" s="246"/>
      <c r="K71" s="246"/>
      <c r="L71" s="246"/>
      <c r="M71" s="246"/>
      <c r="N71" s="246"/>
    </row>
    <row r="72" ht="30.0" customHeight="1">
      <c r="D72" s="246"/>
      <c r="K72" s="246"/>
      <c r="L72" s="246"/>
      <c r="M72" s="246"/>
      <c r="N72" s="246"/>
    </row>
    <row r="73" ht="30.0" customHeight="1">
      <c r="D73" s="246"/>
      <c r="K73" s="246"/>
      <c r="L73" s="246"/>
      <c r="M73" s="246"/>
      <c r="N73" s="246"/>
    </row>
    <row r="74" ht="30.0" customHeight="1">
      <c r="D74" s="246"/>
      <c r="K74" s="246"/>
      <c r="L74" s="246"/>
      <c r="M74" s="246"/>
      <c r="N74" s="246"/>
    </row>
    <row r="75" ht="30.0" customHeight="1">
      <c r="D75" s="246"/>
      <c r="K75" s="246"/>
      <c r="L75" s="246"/>
      <c r="M75" s="246"/>
      <c r="N75" s="246"/>
    </row>
    <row r="76" ht="30.0" customHeight="1">
      <c r="D76" s="246"/>
      <c r="K76" s="246"/>
      <c r="L76" s="246"/>
      <c r="M76" s="246"/>
      <c r="N76" s="246"/>
    </row>
    <row r="77" ht="30.0" customHeight="1">
      <c r="D77" s="246"/>
      <c r="K77" s="246"/>
      <c r="L77" s="246"/>
      <c r="M77" s="246"/>
      <c r="N77" s="246"/>
    </row>
    <row r="78" ht="30.0" customHeight="1">
      <c r="D78" s="246"/>
      <c r="K78" s="246"/>
      <c r="L78" s="246"/>
      <c r="M78" s="246"/>
      <c r="N78" s="246"/>
    </row>
    <row r="79" ht="30.0" customHeight="1">
      <c r="D79" s="246"/>
      <c r="K79" s="246"/>
      <c r="L79" s="246"/>
      <c r="M79" s="246"/>
      <c r="N79" s="246"/>
    </row>
    <row r="80" ht="30.0" customHeight="1">
      <c r="D80" s="246"/>
      <c r="K80" s="246"/>
      <c r="L80" s="246"/>
      <c r="M80" s="246"/>
      <c r="N80" s="246"/>
    </row>
    <row r="81" ht="30.0" customHeight="1">
      <c r="D81" s="246"/>
      <c r="K81" s="246"/>
      <c r="L81" s="246"/>
      <c r="M81" s="246"/>
      <c r="N81" s="246"/>
    </row>
    <row r="82" ht="30.0" customHeight="1">
      <c r="D82" s="246"/>
      <c r="K82" s="246"/>
      <c r="L82" s="246"/>
      <c r="M82" s="246"/>
      <c r="N82" s="246"/>
    </row>
    <row r="83" ht="30.0" customHeight="1">
      <c r="D83" s="246"/>
      <c r="K83" s="246"/>
      <c r="L83" s="246"/>
      <c r="M83" s="246"/>
      <c r="N83" s="246"/>
    </row>
    <row r="84" ht="30.0" customHeight="1">
      <c r="D84" s="246"/>
      <c r="K84" s="246"/>
      <c r="L84" s="246"/>
      <c r="M84" s="246"/>
      <c r="N84" s="246"/>
    </row>
    <row r="85" ht="30.0" customHeight="1">
      <c r="D85" s="246"/>
      <c r="K85" s="246"/>
      <c r="L85" s="246"/>
      <c r="M85" s="246"/>
      <c r="N85" s="246"/>
    </row>
    <row r="86" ht="30.0" customHeight="1">
      <c r="D86" s="246"/>
      <c r="K86" s="246"/>
      <c r="L86" s="246"/>
      <c r="M86" s="246"/>
      <c r="N86" s="246"/>
    </row>
    <row r="87" ht="30.0" customHeight="1">
      <c r="D87" s="246"/>
      <c r="K87" s="246"/>
      <c r="L87" s="246"/>
      <c r="M87" s="246"/>
      <c r="N87" s="246"/>
    </row>
    <row r="88" ht="30.0" customHeight="1">
      <c r="D88" s="246"/>
      <c r="K88" s="246"/>
      <c r="L88" s="246"/>
      <c r="M88" s="246"/>
      <c r="N88" s="246"/>
    </row>
    <row r="89" ht="30.0" customHeight="1">
      <c r="D89" s="246"/>
      <c r="K89" s="246"/>
      <c r="L89" s="246"/>
      <c r="M89" s="246"/>
      <c r="N89" s="246"/>
    </row>
    <row r="90" ht="30.0" customHeight="1">
      <c r="D90" s="246"/>
      <c r="K90" s="246"/>
      <c r="L90" s="246"/>
      <c r="M90" s="246"/>
      <c r="N90" s="246"/>
    </row>
    <row r="91" ht="30.0" customHeight="1">
      <c r="D91" s="246"/>
      <c r="K91" s="246"/>
      <c r="L91" s="246"/>
      <c r="M91" s="246"/>
      <c r="N91" s="246"/>
    </row>
    <row r="92" ht="30.0" customHeight="1">
      <c r="D92" s="246"/>
      <c r="K92" s="246"/>
      <c r="L92" s="246"/>
      <c r="M92" s="246"/>
      <c r="N92" s="246"/>
    </row>
    <row r="93" ht="30.0" customHeight="1">
      <c r="D93" s="246"/>
      <c r="K93" s="246"/>
      <c r="L93" s="246"/>
      <c r="M93" s="246"/>
      <c r="N93" s="246"/>
    </row>
    <row r="94" ht="30.0" customHeight="1">
      <c r="D94" s="246"/>
      <c r="K94" s="246"/>
      <c r="L94" s="246"/>
      <c r="M94" s="246"/>
      <c r="N94" s="246"/>
    </row>
    <row r="95" ht="30.0" customHeight="1">
      <c r="D95" s="246"/>
      <c r="K95" s="246"/>
      <c r="L95" s="246"/>
      <c r="M95" s="246"/>
      <c r="N95" s="246"/>
    </row>
    <row r="96" ht="30.0" customHeight="1">
      <c r="D96" s="246"/>
      <c r="K96" s="246"/>
      <c r="L96" s="246"/>
      <c r="M96" s="246"/>
      <c r="N96" s="246"/>
    </row>
    <row r="97" ht="30.0" customHeight="1">
      <c r="D97" s="246"/>
      <c r="K97" s="246"/>
      <c r="L97" s="246"/>
      <c r="M97" s="246"/>
      <c r="N97" s="246"/>
    </row>
    <row r="98" ht="30.0" customHeight="1">
      <c r="D98" s="246"/>
      <c r="K98" s="246"/>
      <c r="L98" s="246"/>
      <c r="M98" s="246"/>
      <c r="N98" s="246"/>
    </row>
    <row r="99" ht="30.0" customHeight="1">
      <c r="D99" s="246"/>
      <c r="K99" s="246"/>
      <c r="L99" s="246"/>
      <c r="M99" s="246"/>
      <c r="N99" s="246"/>
    </row>
    <row r="100" ht="30.0" customHeight="1">
      <c r="D100" s="246"/>
      <c r="K100" s="246"/>
      <c r="L100" s="246"/>
      <c r="M100" s="246"/>
      <c r="N100" s="246"/>
    </row>
    <row r="101" ht="30.0" customHeight="1">
      <c r="D101" s="246"/>
      <c r="K101" s="246"/>
      <c r="L101" s="246"/>
      <c r="M101" s="246"/>
      <c r="N101" s="246"/>
    </row>
    <row r="102" ht="30.0" customHeight="1">
      <c r="D102" s="246"/>
      <c r="K102" s="246"/>
      <c r="L102" s="246"/>
      <c r="M102" s="246"/>
      <c r="N102" s="246"/>
    </row>
    <row r="103" ht="30.0" customHeight="1">
      <c r="D103" s="246"/>
      <c r="K103" s="246"/>
      <c r="L103" s="246"/>
      <c r="M103" s="246"/>
      <c r="N103" s="246"/>
    </row>
    <row r="104" ht="30.0" customHeight="1">
      <c r="D104" s="246"/>
      <c r="K104" s="246"/>
      <c r="L104" s="246"/>
      <c r="M104" s="246"/>
      <c r="N104" s="246"/>
    </row>
    <row r="105" ht="30.0" customHeight="1">
      <c r="D105" s="246"/>
      <c r="K105" s="246"/>
      <c r="L105" s="246"/>
      <c r="M105" s="246"/>
      <c r="N105" s="246"/>
    </row>
    <row r="106" ht="30.0" customHeight="1">
      <c r="D106" s="246"/>
      <c r="K106" s="246"/>
      <c r="L106" s="246"/>
      <c r="M106" s="246"/>
      <c r="N106" s="246"/>
    </row>
    <row r="107" ht="30.0" customHeight="1">
      <c r="D107" s="246"/>
      <c r="K107" s="246"/>
      <c r="L107" s="246"/>
      <c r="M107" s="246"/>
      <c r="N107" s="246"/>
    </row>
    <row r="108" ht="30.0" customHeight="1">
      <c r="D108" s="246"/>
      <c r="K108" s="246"/>
      <c r="L108" s="246"/>
      <c r="M108" s="246"/>
      <c r="N108" s="246"/>
    </row>
    <row r="109" ht="30.0" customHeight="1">
      <c r="D109" s="246"/>
      <c r="K109" s="246"/>
      <c r="L109" s="246"/>
      <c r="M109" s="246"/>
      <c r="N109" s="246"/>
    </row>
    <row r="110" ht="30.0" customHeight="1">
      <c r="D110" s="246"/>
      <c r="K110" s="246"/>
      <c r="L110" s="246"/>
      <c r="M110" s="246"/>
      <c r="N110" s="246"/>
    </row>
    <row r="111" ht="30.0" customHeight="1">
      <c r="D111" s="246"/>
      <c r="K111" s="246"/>
      <c r="L111" s="246"/>
      <c r="M111" s="246"/>
      <c r="N111" s="246"/>
    </row>
    <row r="112" ht="30.0" customHeight="1">
      <c r="D112" s="246"/>
      <c r="K112" s="246"/>
      <c r="L112" s="246"/>
      <c r="M112" s="246"/>
      <c r="N112" s="246"/>
    </row>
    <row r="113" ht="30.0" customHeight="1">
      <c r="D113" s="246"/>
      <c r="K113" s="246"/>
      <c r="L113" s="246"/>
      <c r="M113" s="246"/>
      <c r="N113" s="246"/>
    </row>
    <row r="114" ht="30.0" customHeight="1">
      <c r="D114" s="246"/>
      <c r="K114" s="246"/>
      <c r="L114" s="246"/>
      <c r="M114" s="246"/>
      <c r="N114" s="246"/>
    </row>
    <row r="115" ht="30.0" customHeight="1">
      <c r="D115" s="246"/>
      <c r="K115" s="246"/>
      <c r="L115" s="246"/>
      <c r="M115" s="246"/>
      <c r="N115" s="246"/>
    </row>
    <row r="116" ht="30.0" customHeight="1">
      <c r="D116" s="246"/>
      <c r="K116" s="246"/>
      <c r="L116" s="246"/>
      <c r="M116" s="246"/>
      <c r="N116" s="246"/>
    </row>
    <row r="117" ht="30.0" customHeight="1">
      <c r="D117" s="246"/>
      <c r="K117" s="246"/>
      <c r="L117" s="246"/>
      <c r="M117" s="246"/>
      <c r="N117" s="246"/>
    </row>
    <row r="118" ht="30.0" customHeight="1">
      <c r="D118" s="246"/>
      <c r="K118" s="246"/>
      <c r="L118" s="246"/>
      <c r="M118" s="246"/>
      <c r="N118" s="246"/>
    </row>
    <row r="119" ht="30.0" customHeight="1">
      <c r="D119" s="246"/>
      <c r="K119" s="246"/>
      <c r="L119" s="246"/>
      <c r="M119" s="246"/>
      <c r="N119" s="246"/>
    </row>
    <row r="120" ht="30.0" customHeight="1">
      <c r="D120" s="246"/>
      <c r="K120" s="246"/>
      <c r="L120" s="246"/>
      <c r="M120" s="246"/>
      <c r="N120" s="246"/>
    </row>
    <row r="121" ht="30.0" customHeight="1">
      <c r="D121" s="246"/>
      <c r="K121" s="246"/>
      <c r="L121" s="246"/>
      <c r="M121" s="246"/>
      <c r="N121" s="246"/>
    </row>
    <row r="122" ht="30.0" customHeight="1">
      <c r="D122" s="246"/>
      <c r="K122" s="246"/>
      <c r="L122" s="246"/>
      <c r="M122" s="246"/>
      <c r="N122" s="246"/>
    </row>
    <row r="123" ht="30.0" customHeight="1">
      <c r="D123" s="246"/>
      <c r="K123" s="246"/>
      <c r="L123" s="246"/>
      <c r="M123" s="246"/>
      <c r="N123" s="246"/>
    </row>
    <row r="124" ht="30.0" customHeight="1">
      <c r="D124" s="246"/>
      <c r="K124" s="246"/>
      <c r="L124" s="246"/>
      <c r="M124" s="246"/>
      <c r="N124" s="246"/>
    </row>
    <row r="125" ht="30.0" customHeight="1">
      <c r="D125" s="246"/>
      <c r="K125" s="246"/>
      <c r="L125" s="246"/>
      <c r="M125" s="246"/>
      <c r="N125" s="246"/>
    </row>
    <row r="126" ht="30.0" customHeight="1">
      <c r="D126" s="246"/>
      <c r="K126" s="246"/>
      <c r="L126" s="246"/>
      <c r="M126" s="246"/>
      <c r="N126" s="246"/>
    </row>
    <row r="127" ht="30.0" customHeight="1">
      <c r="D127" s="246"/>
      <c r="K127" s="246"/>
      <c r="L127" s="246"/>
      <c r="M127" s="246"/>
      <c r="N127" s="246"/>
    </row>
    <row r="128" ht="30.0" customHeight="1">
      <c r="D128" s="246"/>
      <c r="K128" s="246"/>
      <c r="L128" s="246"/>
      <c r="M128" s="246"/>
      <c r="N128" s="246"/>
    </row>
    <row r="129" ht="30.0" customHeight="1">
      <c r="D129" s="246"/>
      <c r="K129" s="246"/>
      <c r="L129" s="246"/>
      <c r="M129" s="246"/>
      <c r="N129" s="246"/>
    </row>
    <row r="130" ht="30.0" customHeight="1">
      <c r="D130" s="246"/>
      <c r="K130" s="246"/>
      <c r="L130" s="246"/>
      <c r="M130" s="246"/>
      <c r="N130" s="246"/>
    </row>
    <row r="131" ht="30.0" customHeight="1">
      <c r="D131" s="246"/>
      <c r="K131" s="246"/>
      <c r="L131" s="246"/>
      <c r="M131" s="246"/>
      <c r="N131" s="246"/>
    </row>
    <row r="132" ht="30.0" customHeight="1">
      <c r="D132" s="246"/>
      <c r="K132" s="246"/>
      <c r="L132" s="246"/>
      <c r="M132" s="246"/>
      <c r="N132" s="246"/>
    </row>
    <row r="133" ht="30.0" customHeight="1">
      <c r="D133" s="246"/>
      <c r="K133" s="246"/>
      <c r="L133" s="246"/>
      <c r="M133" s="246"/>
      <c r="N133" s="246"/>
    </row>
    <row r="134" ht="30.0" customHeight="1">
      <c r="D134" s="246"/>
      <c r="K134" s="246"/>
      <c r="L134" s="246"/>
      <c r="M134" s="246"/>
      <c r="N134" s="246"/>
    </row>
    <row r="135" ht="30.0" customHeight="1">
      <c r="D135" s="246"/>
      <c r="K135" s="246"/>
      <c r="L135" s="246"/>
      <c r="M135" s="246"/>
      <c r="N135" s="246"/>
    </row>
    <row r="136" ht="30.0" customHeight="1">
      <c r="D136" s="246"/>
      <c r="K136" s="246"/>
      <c r="L136" s="246"/>
      <c r="M136" s="246"/>
      <c r="N136" s="246"/>
    </row>
    <row r="137" ht="30.0" customHeight="1">
      <c r="D137" s="246"/>
      <c r="K137" s="246"/>
      <c r="L137" s="246"/>
      <c r="M137" s="246"/>
      <c r="N137" s="246"/>
    </row>
    <row r="138" ht="30.0" customHeight="1">
      <c r="D138" s="246"/>
      <c r="K138" s="246"/>
      <c r="L138" s="246"/>
      <c r="M138" s="246"/>
      <c r="N138" s="246"/>
    </row>
    <row r="139" ht="30.0" customHeight="1">
      <c r="D139" s="246"/>
      <c r="K139" s="246"/>
      <c r="L139" s="246"/>
      <c r="M139" s="246"/>
      <c r="N139" s="246"/>
    </row>
    <row r="140" ht="30.0" customHeight="1">
      <c r="D140" s="246"/>
      <c r="K140" s="246"/>
      <c r="L140" s="246"/>
      <c r="M140" s="246"/>
      <c r="N140" s="246"/>
    </row>
    <row r="141" ht="30.0" customHeight="1">
      <c r="D141" s="246"/>
      <c r="K141" s="246"/>
      <c r="L141" s="246"/>
      <c r="M141" s="246"/>
      <c r="N141" s="246"/>
    </row>
    <row r="142" ht="30.0" customHeight="1">
      <c r="D142" s="246"/>
      <c r="K142" s="246"/>
      <c r="L142" s="246"/>
      <c r="M142" s="246"/>
      <c r="N142" s="246"/>
    </row>
    <row r="143" ht="30.0" customHeight="1">
      <c r="D143" s="246"/>
      <c r="K143" s="246"/>
      <c r="L143" s="246"/>
      <c r="M143" s="246"/>
      <c r="N143" s="246"/>
    </row>
    <row r="144" ht="30.0" customHeight="1">
      <c r="D144" s="246"/>
      <c r="K144" s="246"/>
      <c r="L144" s="246"/>
      <c r="M144" s="246"/>
      <c r="N144" s="246"/>
    </row>
    <row r="145" ht="30.0" customHeight="1">
      <c r="D145" s="246"/>
      <c r="K145" s="246"/>
      <c r="L145" s="246"/>
      <c r="M145" s="246"/>
      <c r="N145" s="246"/>
    </row>
    <row r="146" ht="30.0" customHeight="1">
      <c r="D146" s="246"/>
      <c r="K146" s="246"/>
      <c r="L146" s="246"/>
      <c r="M146" s="246"/>
      <c r="N146" s="246"/>
    </row>
    <row r="147" ht="30.0" customHeight="1">
      <c r="D147" s="246"/>
      <c r="K147" s="246"/>
      <c r="L147" s="246"/>
      <c r="M147" s="246"/>
      <c r="N147" s="246"/>
    </row>
    <row r="148" ht="30.0" customHeight="1">
      <c r="D148" s="246"/>
      <c r="K148" s="246"/>
      <c r="L148" s="246"/>
      <c r="M148" s="246"/>
      <c r="N148" s="246"/>
    </row>
    <row r="149" ht="30.0" customHeight="1">
      <c r="D149" s="246"/>
      <c r="K149" s="246"/>
      <c r="L149" s="246"/>
      <c r="M149" s="246"/>
      <c r="N149" s="246"/>
    </row>
    <row r="150" ht="30.0" customHeight="1">
      <c r="D150" s="246"/>
      <c r="K150" s="246"/>
      <c r="L150" s="246"/>
      <c r="M150" s="246"/>
      <c r="N150" s="246"/>
    </row>
    <row r="151" ht="30.0" customHeight="1">
      <c r="D151" s="246"/>
      <c r="K151" s="246"/>
      <c r="L151" s="246"/>
      <c r="M151" s="246"/>
      <c r="N151" s="246"/>
    </row>
    <row r="152" ht="30.0" customHeight="1">
      <c r="D152" s="246"/>
      <c r="K152" s="246"/>
      <c r="L152" s="246"/>
      <c r="M152" s="246"/>
      <c r="N152" s="246"/>
    </row>
    <row r="153" ht="30.0" customHeight="1">
      <c r="D153" s="246"/>
      <c r="K153" s="246"/>
      <c r="L153" s="246"/>
      <c r="M153" s="246"/>
      <c r="N153" s="246"/>
    </row>
    <row r="154" ht="30.0" customHeight="1">
      <c r="D154" s="246"/>
      <c r="K154" s="246"/>
      <c r="L154" s="246"/>
      <c r="M154" s="246"/>
      <c r="N154" s="246"/>
    </row>
    <row r="155" ht="30.0" customHeight="1">
      <c r="D155" s="246"/>
      <c r="K155" s="246"/>
      <c r="L155" s="246"/>
      <c r="M155" s="246"/>
      <c r="N155" s="246"/>
    </row>
    <row r="156" ht="30.0" customHeight="1">
      <c r="D156" s="246"/>
      <c r="K156" s="246"/>
      <c r="L156" s="246"/>
      <c r="M156" s="246"/>
      <c r="N156" s="246"/>
    </row>
    <row r="157" ht="30.0" customHeight="1">
      <c r="D157" s="246"/>
      <c r="K157" s="246"/>
      <c r="L157" s="246"/>
      <c r="M157" s="246"/>
      <c r="N157" s="246"/>
    </row>
    <row r="158" ht="30.0" customHeight="1">
      <c r="D158" s="246"/>
      <c r="K158" s="246"/>
      <c r="L158" s="246"/>
      <c r="M158" s="246"/>
      <c r="N158" s="246"/>
    </row>
    <row r="159" ht="30.0" customHeight="1">
      <c r="D159" s="246"/>
      <c r="K159" s="246"/>
      <c r="L159" s="246"/>
      <c r="M159" s="246"/>
      <c r="N159" s="246"/>
    </row>
    <row r="160" ht="30.0" customHeight="1">
      <c r="D160" s="246"/>
      <c r="K160" s="246"/>
      <c r="L160" s="246"/>
      <c r="M160" s="246"/>
      <c r="N160" s="246"/>
    </row>
    <row r="161" ht="30.0" customHeight="1">
      <c r="D161" s="246"/>
      <c r="K161" s="246"/>
      <c r="L161" s="246"/>
      <c r="M161" s="246"/>
      <c r="N161" s="246"/>
    </row>
    <row r="162" ht="30.0" customHeight="1">
      <c r="D162" s="246"/>
      <c r="K162" s="246"/>
      <c r="L162" s="246"/>
      <c r="M162" s="246"/>
      <c r="N162" s="246"/>
    </row>
    <row r="163" ht="30.0" customHeight="1">
      <c r="D163" s="246"/>
      <c r="K163" s="246"/>
      <c r="L163" s="246"/>
      <c r="M163" s="246"/>
      <c r="N163" s="246"/>
    </row>
    <row r="164" ht="30.0" customHeight="1">
      <c r="D164" s="246"/>
      <c r="K164" s="246"/>
      <c r="L164" s="246"/>
      <c r="M164" s="246"/>
      <c r="N164" s="246"/>
    </row>
    <row r="165" ht="30.0" customHeight="1">
      <c r="D165" s="246"/>
      <c r="K165" s="246"/>
      <c r="L165" s="246"/>
      <c r="M165" s="246"/>
      <c r="N165" s="246"/>
    </row>
    <row r="166" ht="30.0" customHeight="1">
      <c r="D166" s="246"/>
      <c r="K166" s="246"/>
      <c r="L166" s="246"/>
      <c r="M166" s="246"/>
      <c r="N166" s="246"/>
    </row>
    <row r="167" ht="30.0" customHeight="1">
      <c r="D167" s="246"/>
      <c r="K167" s="246"/>
      <c r="L167" s="246"/>
      <c r="M167" s="246"/>
      <c r="N167" s="246"/>
    </row>
    <row r="168" ht="30.0" customHeight="1">
      <c r="D168" s="246"/>
      <c r="K168" s="246"/>
      <c r="L168" s="246"/>
      <c r="M168" s="246"/>
      <c r="N168" s="246"/>
    </row>
    <row r="169" ht="30.0" customHeight="1">
      <c r="D169" s="246"/>
      <c r="K169" s="246"/>
      <c r="L169" s="246"/>
      <c r="M169" s="246"/>
      <c r="N169" s="246"/>
    </row>
    <row r="170" ht="30.0" customHeight="1">
      <c r="D170" s="246"/>
      <c r="K170" s="246"/>
      <c r="L170" s="246"/>
      <c r="M170" s="246"/>
      <c r="N170" s="246"/>
    </row>
    <row r="171" ht="30.0" customHeight="1">
      <c r="D171" s="246"/>
      <c r="K171" s="246"/>
      <c r="L171" s="246"/>
      <c r="M171" s="246"/>
      <c r="N171" s="246"/>
    </row>
    <row r="172" ht="30.0" customHeight="1">
      <c r="D172" s="246"/>
      <c r="K172" s="246"/>
      <c r="L172" s="246"/>
      <c r="M172" s="246"/>
      <c r="N172" s="246"/>
    </row>
    <row r="173" ht="30.0" customHeight="1">
      <c r="D173" s="246"/>
      <c r="K173" s="246"/>
      <c r="L173" s="246"/>
      <c r="M173" s="246"/>
      <c r="N173" s="246"/>
    </row>
    <row r="174" ht="30.0" customHeight="1">
      <c r="D174" s="246"/>
      <c r="K174" s="246"/>
      <c r="L174" s="246"/>
      <c r="M174" s="246"/>
      <c r="N174" s="246"/>
    </row>
    <row r="175" ht="30.0" customHeight="1">
      <c r="D175" s="246"/>
      <c r="K175" s="246"/>
      <c r="L175" s="246"/>
      <c r="M175" s="246"/>
      <c r="N175" s="246"/>
    </row>
    <row r="176" ht="30.0" customHeight="1">
      <c r="D176" s="246"/>
      <c r="K176" s="246"/>
      <c r="L176" s="246"/>
      <c r="M176" s="246"/>
      <c r="N176" s="246"/>
    </row>
    <row r="177" ht="30.0" customHeight="1">
      <c r="D177" s="246"/>
      <c r="K177" s="246"/>
      <c r="L177" s="246"/>
      <c r="M177" s="246"/>
      <c r="N177" s="246"/>
    </row>
    <row r="178" ht="30.0" customHeight="1">
      <c r="D178" s="246"/>
      <c r="K178" s="246"/>
      <c r="L178" s="246"/>
      <c r="M178" s="246"/>
      <c r="N178" s="246"/>
    </row>
    <row r="179" ht="30.0" customHeight="1">
      <c r="D179" s="246"/>
      <c r="K179" s="246"/>
      <c r="L179" s="246"/>
      <c r="M179" s="246"/>
      <c r="N179" s="246"/>
    </row>
    <row r="180" ht="30.0" customHeight="1">
      <c r="D180" s="246"/>
      <c r="K180" s="246"/>
      <c r="L180" s="246"/>
      <c r="M180" s="246"/>
      <c r="N180" s="246"/>
    </row>
    <row r="181" ht="30.0" customHeight="1">
      <c r="D181" s="246"/>
      <c r="K181" s="246"/>
      <c r="L181" s="246"/>
      <c r="M181" s="246"/>
      <c r="N181" s="246"/>
    </row>
    <row r="182" ht="30.0" customHeight="1">
      <c r="D182" s="246"/>
      <c r="K182" s="246"/>
      <c r="L182" s="246"/>
      <c r="M182" s="246"/>
      <c r="N182" s="246"/>
    </row>
    <row r="183" ht="30.0" customHeight="1">
      <c r="D183" s="246"/>
      <c r="K183" s="246"/>
      <c r="L183" s="246"/>
      <c r="M183" s="246"/>
      <c r="N183" s="246"/>
    </row>
    <row r="184" ht="30.0" customHeight="1">
      <c r="D184" s="246"/>
      <c r="K184" s="246"/>
      <c r="L184" s="246"/>
      <c r="M184" s="246"/>
      <c r="N184" s="246"/>
    </row>
    <row r="185" ht="30.0" customHeight="1">
      <c r="D185" s="246"/>
      <c r="K185" s="246"/>
      <c r="L185" s="246"/>
      <c r="M185" s="246"/>
      <c r="N185" s="246"/>
    </row>
    <row r="186" ht="30.0" customHeight="1">
      <c r="D186" s="246"/>
      <c r="K186" s="246"/>
      <c r="L186" s="246"/>
      <c r="M186" s="246"/>
      <c r="N186" s="246"/>
    </row>
    <row r="187" ht="30.0" customHeight="1">
      <c r="D187" s="246"/>
      <c r="K187" s="246"/>
      <c r="L187" s="246"/>
      <c r="M187" s="246"/>
      <c r="N187" s="246"/>
    </row>
    <row r="188" ht="30.0" customHeight="1">
      <c r="D188" s="246"/>
      <c r="K188" s="246"/>
      <c r="L188" s="246"/>
      <c r="M188" s="246"/>
      <c r="N188" s="246"/>
    </row>
    <row r="189" ht="30.0" customHeight="1">
      <c r="D189" s="246"/>
      <c r="K189" s="246"/>
      <c r="L189" s="246"/>
      <c r="M189" s="246"/>
      <c r="N189" s="246"/>
    </row>
    <row r="190" ht="30.0" customHeight="1">
      <c r="D190" s="246"/>
      <c r="K190" s="246"/>
      <c r="L190" s="246"/>
      <c r="M190" s="246"/>
      <c r="N190" s="246"/>
    </row>
    <row r="191" ht="30.0" customHeight="1">
      <c r="D191" s="246"/>
      <c r="K191" s="246"/>
      <c r="L191" s="246"/>
      <c r="M191" s="246"/>
      <c r="N191" s="246"/>
    </row>
    <row r="192" ht="30.0" customHeight="1">
      <c r="D192" s="246"/>
      <c r="K192" s="246"/>
      <c r="L192" s="246"/>
      <c r="M192" s="246"/>
      <c r="N192" s="246"/>
    </row>
    <row r="193" ht="30.0" customHeight="1">
      <c r="D193" s="246"/>
      <c r="K193" s="246"/>
      <c r="L193" s="246"/>
      <c r="M193" s="246"/>
      <c r="N193" s="246"/>
    </row>
    <row r="194" ht="30.0" customHeight="1">
      <c r="D194" s="246"/>
      <c r="K194" s="246"/>
      <c r="L194" s="246"/>
      <c r="M194" s="246"/>
      <c r="N194" s="246"/>
    </row>
    <row r="195" ht="30.0" customHeight="1">
      <c r="D195" s="246"/>
      <c r="K195" s="246"/>
      <c r="L195" s="246"/>
      <c r="M195" s="246"/>
      <c r="N195" s="246"/>
    </row>
    <row r="196" ht="30.0" customHeight="1">
      <c r="D196" s="246"/>
      <c r="K196" s="246"/>
      <c r="L196" s="246"/>
      <c r="M196" s="246"/>
      <c r="N196" s="246"/>
    </row>
    <row r="197" ht="30.0" customHeight="1">
      <c r="D197" s="246"/>
      <c r="K197" s="246"/>
      <c r="L197" s="246"/>
      <c r="M197" s="246"/>
      <c r="N197" s="246"/>
    </row>
    <row r="198" ht="30.0" customHeight="1">
      <c r="D198" s="246"/>
      <c r="K198" s="246"/>
      <c r="L198" s="246"/>
      <c r="M198" s="246"/>
      <c r="N198" s="246"/>
    </row>
    <row r="199" ht="30.0" customHeight="1">
      <c r="D199" s="246"/>
      <c r="K199" s="246"/>
      <c r="L199" s="246"/>
      <c r="M199" s="246"/>
      <c r="N199" s="246"/>
    </row>
    <row r="200" ht="30.0" customHeight="1">
      <c r="D200" s="246"/>
      <c r="K200" s="246"/>
      <c r="L200" s="246"/>
      <c r="M200" s="246"/>
      <c r="N200" s="246"/>
    </row>
    <row r="201" ht="30.0" customHeight="1">
      <c r="D201" s="246"/>
      <c r="K201" s="246"/>
      <c r="L201" s="246"/>
      <c r="M201" s="246"/>
      <c r="N201" s="246"/>
    </row>
    <row r="202" ht="30.0" customHeight="1">
      <c r="D202" s="246"/>
      <c r="K202" s="246"/>
      <c r="L202" s="246"/>
      <c r="M202" s="246"/>
      <c r="N202" s="246"/>
    </row>
    <row r="203" ht="30.0" customHeight="1">
      <c r="D203" s="246"/>
      <c r="K203" s="246"/>
      <c r="L203" s="246"/>
      <c r="M203" s="246"/>
      <c r="N203" s="246"/>
    </row>
    <row r="204" ht="30.0" customHeight="1">
      <c r="D204" s="246"/>
      <c r="K204" s="246"/>
      <c r="L204" s="246"/>
      <c r="M204" s="246"/>
      <c r="N204" s="246"/>
    </row>
    <row r="205" ht="30.0" customHeight="1">
      <c r="D205" s="246"/>
      <c r="K205" s="246"/>
      <c r="L205" s="246"/>
      <c r="M205" s="246"/>
      <c r="N205" s="246"/>
    </row>
    <row r="206" ht="30.0" customHeight="1">
      <c r="D206" s="246"/>
      <c r="K206" s="246"/>
      <c r="L206" s="246"/>
      <c r="M206" s="246"/>
      <c r="N206" s="246"/>
    </row>
    <row r="207" ht="30.0" customHeight="1">
      <c r="D207" s="246"/>
      <c r="K207" s="246"/>
      <c r="L207" s="246"/>
      <c r="M207" s="246"/>
      <c r="N207" s="246"/>
    </row>
    <row r="208" ht="30.0" customHeight="1">
      <c r="D208" s="246"/>
      <c r="K208" s="246"/>
      <c r="L208" s="246"/>
      <c r="M208" s="246"/>
      <c r="N208" s="246"/>
    </row>
    <row r="209" ht="30.0" customHeight="1">
      <c r="D209" s="246"/>
      <c r="K209" s="246"/>
      <c r="L209" s="246"/>
      <c r="M209" s="246"/>
      <c r="N209" s="246"/>
    </row>
    <row r="210" ht="30.0" customHeight="1">
      <c r="D210" s="246"/>
      <c r="K210" s="246"/>
      <c r="L210" s="246"/>
      <c r="M210" s="246"/>
      <c r="N210" s="246"/>
    </row>
    <row r="211" ht="30.0" customHeight="1">
      <c r="D211" s="246"/>
      <c r="K211" s="246"/>
      <c r="L211" s="246"/>
      <c r="M211" s="246"/>
      <c r="N211" s="246"/>
    </row>
    <row r="212" ht="30.0" customHeight="1">
      <c r="D212" s="246"/>
      <c r="K212" s="246"/>
      <c r="L212" s="246"/>
      <c r="M212" s="246"/>
      <c r="N212" s="246"/>
    </row>
    <row r="213" ht="30.0" customHeight="1">
      <c r="D213" s="246"/>
      <c r="K213" s="246"/>
      <c r="L213" s="246"/>
      <c r="M213" s="246"/>
      <c r="N213" s="246"/>
    </row>
    <row r="214" ht="30.0" customHeight="1">
      <c r="D214" s="246"/>
      <c r="K214" s="246"/>
      <c r="L214" s="246"/>
      <c r="M214" s="246"/>
      <c r="N214" s="246"/>
    </row>
    <row r="215" ht="30.0" customHeight="1">
      <c r="D215" s="246"/>
      <c r="K215" s="246"/>
      <c r="L215" s="246"/>
      <c r="M215" s="246"/>
      <c r="N215" s="246"/>
    </row>
    <row r="216" ht="30.0" customHeight="1">
      <c r="D216" s="246"/>
      <c r="K216" s="246"/>
      <c r="L216" s="246"/>
      <c r="M216" s="246"/>
      <c r="N216" s="246"/>
    </row>
    <row r="217" ht="30.0" customHeight="1">
      <c r="D217" s="246"/>
      <c r="K217" s="246"/>
      <c r="L217" s="246"/>
      <c r="M217" s="246"/>
      <c r="N217" s="246"/>
    </row>
    <row r="218" ht="30.0" customHeight="1">
      <c r="D218" s="246"/>
      <c r="K218" s="246"/>
      <c r="L218" s="246"/>
      <c r="M218" s="246"/>
      <c r="N218" s="246"/>
    </row>
    <row r="219" ht="30.0" customHeight="1">
      <c r="D219" s="246"/>
      <c r="K219" s="246"/>
      <c r="L219" s="246"/>
      <c r="M219" s="246"/>
      <c r="N219" s="246"/>
    </row>
    <row r="220" ht="30.0" customHeight="1">
      <c r="D220" s="246"/>
      <c r="K220" s="246"/>
      <c r="L220" s="246"/>
      <c r="M220" s="246"/>
      <c r="N220" s="246"/>
    </row>
    <row r="221" ht="30.0" customHeight="1">
      <c r="D221" s="246"/>
      <c r="K221" s="246"/>
      <c r="L221" s="246"/>
      <c r="M221" s="246"/>
      <c r="N221" s="246"/>
    </row>
    <row r="222" ht="30.0" customHeight="1">
      <c r="D222" s="246"/>
      <c r="K222" s="246"/>
      <c r="L222" s="246"/>
      <c r="M222" s="246"/>
      <c r="N222" s="246"/>
    </row>
    <row r="223" ht="30.0" customHeight="1">
      <c r="D223" s="246"/>
      <c r="K223" s="246"/>
      <c r="L223" s="246"/>
      <c r="M223" s="246"/>
      <c r="N223" s="246"/>
    </row>
    <row r="224" ht="30.0" customHeight="1">
      <c r="D224" s="246"/>
      <c r="K224" s="246"/>
      <c r="L224" s="246"/>
      <c r="M224" s="246"/>
      <c r="N224" s="246"/>
    </row>
    <row r="225" ht="30.0" customHeight="1">
      <c r="D225" s="246"/>
      <c r="K225" s="246"/>
      <c r="L225" s="246"/>
      <c r="M225" s="246"/>
      <c r="N225" s="246"/>
    </row>
    <row r="226" ht="30.0" customHeight="1">
      <c r="D226" s="246"/>
      <c r="K226" s="246"/>
      <c r="L226" s="246"/>
      <c r="M226" s="246"/>
      <c r="N226" s="246"/>
    </row>
    <row r="227" ht="30.0" customHeight="1">
      <c r="D227" s="246"/>
      <c r="K227" s="246"/>
      <c r="L227" s="246"/>
      <c r="M227" s="246"/>
      <c r="N227" s="246"/>
    </row>
    <row r="228" ht="30.0" customHeight="1">
      <c r="D228" s="246"/>
      <c r="K228" s="246"/>
      <c r="L228" s="246"/>
      <c r="M228" s="246"/>
      <c r="N228" s="246"/>
    </row>
    <row r="229" ht="30.0" customHeight="1">
      <c r="D229" s="246"/>
      <c r="K229" s="246"/>
      <c r="L229" s="246"/>
      <c r="M229" s="246"/>
      <c r="N229" s="246"/>
    </row>
    <row r="230" ht="30.0" customHeight="1">
      <c r="D230" s="246"/>
      <c r="K230" s="246"/>
      <c r="L230" s="246"/>
      <c r="M230" s="246"/>
      <c r="N230" s="246"/>
    </row>
    <row r="231" ht="30.0" customHeight="1">
      <c r="D231" s="246"/>
      <c r="K231" s="246"/>
      <c r="L231" s="246"/>
      <c r="M231" s="246"/>
      <c r="N231" s="246"/>
    </row>
    <row r="232" ht="30.0" customHeight="1">
      <c r="D232" s="246"/>
      <c r="K232" s="246"/>
      <c r="L232" s="246"/>
      <c r="M232" s="246"/>
      <c r="N232" s="246"/>
    </row>
    <row r="233" ht="30.0" customHeight="1">
      <c r="D233" s="246"/>
      <c r="K233" s="246"/>
      <c r="L233" s="246"/>
      <c r="M233" s="246"/>
      <c r="N233" s="246"/>
    </row>
    <row r="234" ht="30.0" customHeight="1">
      <c r="D234" s="246"/>
      <c r="K234" s="246"/>
      <c r="L234" s="246"/>
      <c r="M234" s="246"/>
      <c r="N234" s="246"/>
    </row>
    <row r="235" ht="30.0" customHeight="1">
      <c r="D235" s="246"/>
      <c r="K235" s="246"/>
      <c r="L235" s="246"/>
      <c r="M235" s="246"/>
      <c r="N235" s="246"/>
    </row>
    <row r="236" ht="30.0" customHeight="1">
      <c r="D236" s="246"/>
      <c r="K236" s="246"/>
      <c r="L236" s="246"/>
      <c r="M236" s="246"/>
      <c r="N236" s="246"/>
    </row>
    <row r="237" ht="30.0" customHeight="1">
      <c r="D237" s="246"/>
      <c r="K237" s="246"/>
      <c r="L237" s="246"/>
      <c r="M237" s="246"/>
      <c r="N237" s="246"/>
    </row>
    <row r="238" ht="30.0" customHeight="1">
      <c r="D238" s="246"/>
      <c r="K238" s="246"/>
      <c r="L238" s="246"/>
      <c r="M238" s="246"/>
      <c r="N238" s="246"/>
    </row>
    <row r="239" ht="30.0" customHeight="1">
      <c r="D239" s="246"/>
      <c r="K239" s="246"/>
      <c r="L239" s="246"/>
      <c r="M239" s="246"/>
      <c r="N239" s="246"/>
    </row>
    <row r="240" ht="30.0" customHeight="1">
      <c r="D240" s="246"/>
      <c r="K240" s="246"/>
      <c r="L240" s="246"/>
      <c r="M240" s="246"/>
      <c r="N240" s="246"/>
    </row>
    <row r="241" ht="30.0" customHeight="1">
      <c r="D241" s="246"/>
      <c r="K241" s="246"/>
      <c r="L241" s="246"/>
      <c r="M241" s="246"/>
      <c r="N241" s="246"/>
    </row>
    <row r="242" ht="30.0" customHeight="1">
      <c r="D242" s="246"/>
      <c r="K242" s="246"/>
      <c r="L242" s="246"/>
      <c r="M242" s="246"/>
      <c r="N242" s="246"/>
    </row>
    <row r="243" ht="30.0" customHeight="1">
      <c r="D243" s="246"/>
      <c r="K243" s="246"/>
      <c r="L243" s="246"/>
      <c r="M243" s="246"/>
      <c r="N243" s="246"/>
    </row>
    <row r="244" ht="30.0" customHeight="1">
      <c r="D244" s="246"/>
      <c r="K244" s="246"/>
      <c r="L244" s="246"/>
      <c r="M244" s="246"/>
      <c r="N244" s="246"/>
    </row>
    <row r="245" ht="30.0" customHeight="1">
      <c r="D245" s="246"/>
      <c r="K245" s="246"/>
      <c r="L245" s="246"/>
      <c r="M245" s="246"/>
      <c r="N245" s="246"/>
    </row>
    <row r="246" ht="30.0" customHeight="1">
      <c r="D246" s="246"/>
      <c r="K246" s="246"/>
      <c r="L246" s="246"/>
      <c r="M246" s="246"/>
      <c r="N246" s="246"/>
    </row>
    <row r="247" ht="30.0" customHeight="1">
      <c r="D247" s="246"/>
      <c r="K247" s="246"/>
      <c r="L247" s="246"/>
      <c r="M247" s="246"/>
      <c r="N247" s="246"/>
    </row>
    <row r="248" ht="30.0" customHeight="1">
      <c r="D248" s="246"/>
      <c r="K248" s="246"/>
      <c r="L248" s="246"/>
      <c r="M248" s="246"/>
      <c r="N248" s="246"/>
    </row>
    <row r="249" ht="30.0" customHeight="1">
      <c r="D249" s="246"/>
      <c r="K249" s="246"/>
      <c r="L249" s="246"/>
      <c r="M249" s="246"/>
      <c r="N249" s="246"/>
    </row>
    <row r="250" ht="30.0" customHeight="1">
      <c r="D250" s="246"/>
      <c r="K250" s="246"/>
      <c r="L250" s="246"/>
      <c r="M250" s="246"/>
      <c r="N250" s="246"/>
    </row>
    <row r="251" ht="30.0" customHeight="1">
      <c r="D251" s="246"/>
      <c r="K251" s="246"/>
      <c r="L251" s="246"/>
      <c r="M251" s="246"/>
      <c r="N251" s="246"/>
    </row>
    <row r="252" ht="30.0" customHeight="1">
      <c r="D252" s="246"/>
      <c r="K252" s="246"/>
      <c r="L252" s="246"/>
      <c r="M252" s="246"/>
      <c r="N252" s="246"/>
    </row>
    <row r="253" ht="30.0" customHeight="1">
      <c r="D253" s="246"/>
      <c r="K253" s="246"/>
      <c r="L253" s="246"/>
      <c r="M253" s="246"/>
      <c r="N253" s="246"/>
    </row>
    <row r="254" ht="30.0" customHeight="1">
      <c r="D254" s="246"/>
      <c r="K254" s="246"/>
      <c r="L254" s="246"/>
      <c r="M254" s="246"/>
      <c r="N254" s="246"/>
    </row>
    <row r="255" ht="30.0" customHeight="1">
      <c r="D255" s="246"/>
      <c r="K255" s="246"/>
      <c r="L255" s="246"/>
      <c r="M255" s="246"/>
      <c r="N255" s="246"/>
    </row>
    <row r="256" ht="30.0" customHeight="1">
      <c r="D256" s="246"/>
      <c r="K256" s="246"/>
      <c r="L256" s="246"/>
      <c r="M256" s="246"/>
      <c r="N256" s="246"/>
    </row>
    <row r="257" ht="30.0" customHeight="1">
      <c r="D257" s="246"/>
      <c r="K257" s="246"/>
      <c r="L257" s="246"/>
      <c r="M257" s="246"/>
      <c r="N257" s="246"/>
    </row>
    <row r="258" ht="30.0" customHeight="1">
      <c r="D258" s="246"/>
      <c r="K258" s="246"/>
      <c r="L258" s="246"/>
      <c r="M258" s="246"/>
      <c r="N258" s="246"/>
    </row>
    <row r="259" ht="30.0" customHeight="1">
      <c r="D259" s="246"/>
      <c r="K259" s="246"/>
      <c r="L259" s="246"/>
      <c r="M259" s="246"/>
      <c r="N259" s="246"/>
    </row>
    <row r="260" ht="30.0" customHeight="1">
      <c r="D260" s="246"/>
      <c r="K260" s="246"/>
      <c r="L260" s="246"/>
      <c r="M260" s="246"/>
      <c r="N260" s="246"/>
    </row>
    <row r="261" ht="30.0" customHeight="1">
      <c r="D261" s="246"/>
      <c r="K261" s="246"/>
      <c r="L261" s="246"/>
      <c r="M261" s="246"/>
      <c r="N261" s="246"/>
    </row>
    <row r="262" ht="30.0" customHeight="1">
      <c r="D262" s="246"/>
      <c r="K262" s="246"/>
      <c r="L262" s="246"/>
      <c r="M262" s="246"/>
      <c r="N262" s="246"/>
    </row>
    <row r="263" ht="30.0" customHeight="1">
      <c r="D263" s="246"/>
      <c r="K263" s="246"/>
      <c r="L263" s="246"/>
      <c r="M263" s="246"/>
      <c r="N263" s="246"/>
    </row>
    <row r="264" ht="30.0" customHeight="1">
      <c r="D264" s="246"/>
      <c r="K264" s="246"/>
      <c r="L264" s="246"/>
      <c r="M264" s="246"/>
      <c r="N264" s="246"/>
    </row>
    <row r="265" ht="30.0" customHeight="1">
      <c r="D265" s="246"/>
      <c r="K265" s="246"/>
      <c r="L265" s="246"/>
      <c r="M265" s="246"/>
      <c r="N265" s="246"/>
    </row>
    <row r="266" ht="30.0" customHeight="1">
      <c r="D266" s="246"/>
      <c r="K266" s="246"/>
      <c r="L266" s="246"/>
      <c r="M266" s="246"/>
      <c r="N266" s="246"/>
    </row>
    <row r="267" ht="30.0" customHeight="1">
      <c r="D267" s="246"/>
      <c r="K267" s="246"/>
      <c r="L267" s="246"/>
      <c r="M267" s="246"/>
      <c r="N267" s="246"/>
    </row>
    <row r="268" ht="30.0" customHeight="1">
      <c r="D268" s="246"/>
      <c r="K268" s="246"/>
      <c r="L268" s="246"/>
      <c r="M268" s="246"/>
      <c r="N268" s="246"/>
    </row>
    <row r="269" ht="30.0" customHeight="1">
      <c r="D269" s="246"/>
      <c r="K269" s="246"/>
      <c r="L269" s="246"/>
      <c r="M269" s="246"/>
      <c r="N269" s="246"/>
    </row>
    <row r="270" ht="30.0" customHeight="1">
      <c r="D270" s="246"/>
      <c r="K270" s="246"/>
      <c r="L270" s="246"/>
      <c r="M270" s="246"/>
      <c r="N270" s="246"/>
    </row>
    <row r="271" ht="30.0" customHeight="1">
      <c r="D271" s="246"/>
      <c r="K271" s="246"/>
      <c r="L271" s="246"/>
      <c r="M271" s="246"/>
      <c r="N271" s="246"/>
    </row>
    <row r="272" ht="30.0" customHeight="1">
      <c r="D272" s="246"/>
      <c r="K272" s="246"/>
      <c r="L272" s="246"/>
      <c r="M272" s="246"/>
      <c r="N272" s="246"/>
    </row>
    <row r="273" ht="30.0" customHeight="1">
      <c r="D273" s="246"/>
      <c r="K273" s="246"/>
      <c r="L273" s="246"/>
      <c r="M273" s="246"/>
      <c r="N273" s="246"/>
    </row>
    <row r="274" ht="30.0" customHeight="1">
      <c r="D274" s="246"/>
      <c r="K274" s="246"/>
      <c r="L274" s="246"/>
      <c r="M274" s="246"/>
      <c r="N274" s="246"/>
    </row>
    <row r="275" ht="30.0" customHeight="1">
      <c r="D275" s="246"/>
      <c r="K275" s="246"/>
      <c r="L275" s="246"/>
      <c r="M275" s="246"/>
      <c r="N275" s="246"/>
    </row>
    <row r="276" ht="30.0" customHeight="1">
      <c r="D276" s="246"/>
      <c r="K276" s="246"/>
      <c r="L276" s="246"/>
      <c r="M276" s="246"/>
      <c r="N276" s="246"/>
    </row>
    <row r="277" ht="30.0" customHeight="1">
      <c r="D277" s="246"/>
      <c r="K277" s="246"/>
      <c r="L277" s="246"/>
      <c r="M277" s="246"/>
      <c r="N277" s="246"/>
    </row>
    <row r="278" ht="30.0" customHeight="1">
      <c r="D278" s="246"/>
      <c r="K278" s="246"/>
      <c r="L278" s="246"/>
      <c r="M278" s="246"/>
      <c r="N278" s="246"/>
    </row>
    <row r="279" ht="30.0" customHeight="1">
      <c r="D279" s="246"/>
      <c r="K279" s="246"/>
      <c r="L279" s="246"/>
      <c r="M279" s="246"/>
      <c r="N279" s="246"/>
    </row>
    <row r="280" ht="30.0" customHeight="1">
      <c r="D280" s="246"/>
      <c r="K280" s="246"/>
      <c r="L280" s="246"/>
      <c r="M280" s="246"/>
      <c r="N280" s="246"/>
    </row>
    <row r="281" ht="30.0" customHeight="1">
      <c r="D281" s="246"/>
      <c r="K281" s="246"/>
      <c r="L281" s="246"/>
      <c r="M281" s="246"/>
      <c r="N281" s="246"/>
    </row>
    <row r="282" ht="30.0" customHeight="1">
      <c r="D282" s="246"/>
      <c r="K282" s="246"/>
      <c r="L282" s="246"/>
      <c r="M282" s="246"/>
      <c r="N282" s="246"/>
    </row>
    <row r="283" ht="30.0" customHeight="1">
      <c r="D283" s="246"/>
      <c r="K283" s="246"/>
      <c r="L283" s="246"/>
      <c r="M283" s="246"/>
      <c r="N283" s="246"/>
    </row>
    <row r="284" ht="30.0" customHeight="1">
      <c r="D284" s="246"/>
      <c r="K284" s="246"/>
      <c r="L284" s="246"/>
      <c r="M284" s="246"/>
      <c r="N284" s="246"/>
    </row>
    <row r="285" ht="30.0" customHeight="1">
      <c r="D285" s="246"/>
      <c r="K285" s="246"/>
      <c r="L285" s="246"/>
      <c r="M285" s="246"/>
      <c r="N285" s="246"/>
    </row>
    <row r="286" ht="30.0" customHeight="1">
      <c r="D286" s="246"/>
      <c r="K286" s="246"/>
      <c r="L286" s="246"/>
      <c r="M286" s="246"/>
      <c r="N286" s="246"/>
    </row>
    <row r="287" ht="30.0" customHeight="1">
      <c r="D287" s="246"/>
      <c r="K287" s="246"/>
      <c r="L287" s="246"/>
      <c r="M287" s="246"/>
      <c r="N287" s="246"/>
    </row>
    <row r="288" ht="30.0" customHeight="1">
      <c r="D288" s="246"/>
      <c r="K288" s="246"/>
      <c r="L288" s="246"/>
      <c r="M288" s="246"/>
      <c r="N288" s="246"/>
    </row>
    <row r="289" ht="30.0" customHeight="1">
      <c r="D289" s="246"/>
      <c r="K289" s="246"/>
      <c r="L289" s="246"/>
      <c r="M289" s="246"/>
      <c r="N289" s="246"/>
    </row>
    <row r="290" ht="30.0" customHeight="1">
      <c r="D290" s="246"/>
      <c r="K290" s="246"/>
      <c r="L290" s="246"/>
      <c r="M290" s="246"/>
      <c r="N290" s="246"/>
    </row>
    <row r="291" ht="30.0" customHeight="1">
      <c r="D291" s="246"/>
      <c r="K291" s="246"/>
      <c r="L291" s="246"/>
      <c r="M291" s="246"/>
      <c r="N291" s="246"/>
    </row>
    <row r="292" ht="30.0" customHeight="1">
      <c r="D292" s="246"/>
      <c r="K292" s="246"/>
      <c r="L292" s="246"/>
      <c r="M292" s="246"/>
      <c r="N292" s="246"/>
    </row>
    <row r="293" ht="30.0" customHeight="1">
      <c r="D293" s="246"/>
      <c r="K293" s="246"/>
      <c r="L293" s="246"/>
      <c r="M293" s="246"/>
      <c r="N293" s="246"/>
    </row>
    <row r="294" ht="30.0" customHeight="1">
      <c r="D294" s="246"/>
      <c r="K294" s="246"/>
      <c r="L294" s="246"/>
      <c r="M294" s="246"/>
      <c r="N294" s="246"/>
    </row>
    <row r="295" ht="30.0" customHeight="1">
      <c r="D295" s="246"/>
      <c r="K295" s="246"/>
      <c r="L295" s="246"/>
      <c r="M295" s="246"/>
      <c r="N295" s="246"/>
    </row>
    <row r="296" ht="30.0" customHeight="1">
      <c r="D296" s="246"/>
      <c r="K296" s="246"/>
      <c r="L296" s="246"/>
      <c r="M296" s="246"/>
      <c r="N296" s="246"/>
    </row>
    <row r="297" ht="30.0" customHeight="1">
      <c r="D297" s="246"/>
      <c r="K297" s="246"/>
      <c r="L297" s="246"/>
      <c r="M297" s="246"/>
      <c r="N297" s="246"/>
    </row>
    <row r="298" ht="30.0" customHeight="1">
      <c r="D298" s="246"/>
      <c r="K298" s="246"/>
      <c r="L298" s="246"/>
      <c r="M298" s="246"/>
      <c r="N298" s="246"/>
    </row>
    <row r="299" ht="30.0" customHeight="1">
      <c r="D299" s="246"/>
      <c r="K299" s="246"/>
      <c r="L299" s="246"/>
      <c r="M299" s="246"/>
      <c r="N299" s="246"/>
    </row>
    <row r="300" ht="30.0" customHeight="1">
      <c r="D300" s="246"/>
      <c r="K300" s="246"/>
      <c r="L300" s="246"/>
      <c r="M300" s="246"/>
      <c r="N300" s="246"/>
    </row>
    <row r="301" ht="30.0" customHeight="1">
      <c r="D301" s="246"/>
      <c r="K301" s="246"/>
      <c r="L301" s="246"/>
      <c r="M301" s="246"/>
      <c r="N301" s="246"/>
    </row>
    <row r="302" ht="30.0" customHeight="1">
      <c r="D302" s="246"/>
      <c r="K302" s="246"/>
      <c r="L302" s="246"/>
      <c r="M302" s="246"/>
      <c r="N302" s="246"/>
    </row>
    <row r="303" ht="30.0" customHeight="1">
      <c r="D303" s="246"/>
      <c r="K303" s="246"/>
      <c r="L303" s="246"/>
      <c r="M303" s="246"/>
      <c r="N303" s="246"/>
    </row>
    <row r="304" ht="30.0" customHeight="1">
      <c r="D304" s="246"/>
      <c r="K304" s="246"/>
      <c r="L304" s="246"/>
      <c r="M304" s="246"/>
      <c r="N304" s="246"/>
    </row>
    <row r="305" ht="30.0" customHeight="1">
      <c r="D305" s="246"/>
      <c r="K305" s="246"/>
      <c r="L305" s="246"/>
      <c r="M305" s="246"/>
      <c r="N305" s="246"/>
    </row>
    <row r="306" ht="30.0" customHeight="1">
      <c r="D306" s="246"/>
      <c r="K306" s="246"/>
      <c r="L306" s="246"/>
      <c r="M306" s="246"/>
      <c r="N306" s="246"/>
    </row>
    <row r="307" ht="30.0" customHeight="1">
      <c r="D307" s="246"/>
      <c r="K307" s="246"/>
      <c r="L307" s="246"/>
      <c r="M307" s="246"/>
      <c r="N307" s="246"/>
    </row>
    <row r="308" ht="30.0" customHeight="1">
      <c r="D308" s="246"/>
      <c r="K308" s="246"/>
      <c r="L308" s="246"/>
      <c r="M308" s="246"/>
      <c r="N308" s="246"/>
    </row>
    <row r="309" ht="30.0" customHeight="1">
      <c r="D309" s="246"/>
      <c r="K309" s="246"/>
      <c r="L309" s="246"/>
      <c r="M309" s="246"/>
      <c r="N309" s="246"/>
    </row>
    <row r="310" ht="30.0" customHeight="1">
      <c r="D310" s="246"/>
      <c r="K310" s="246"/>
      <c r="L310" s="246"/>
      <c r="M310" s="246"/>
      <c r="N310" s="246"/>
    </row>
    <row r="311" ht="30.0" customHeight="1">
      <c r="D311" s="246"/>
      <c r="K311" s="246"/>
      <c r="L311" s="246"/>
      <c r="M311" s="246"/>
      <c r="N311" s="246"/>
    </row>
    <row r="312" ht="30.0" customHeight="1">
      <c r="D312" s="246"/>
      <c r="K312" s="246"/>
      <c r="L312" s="246"/>
      <c r="M312" s="246"/>
      <c r="N312" s="246"/>
    </row>
    <row r="313" ht="30.0" customHeight="1">
      <c r="D313" s="246"/>
      <c r="K313" s="246"/>
      <c r="L313" s="246"/>
      <c r="M313" s="246"/>
      <c r="N313" s="246"/>
    </row>
    <row r="314" ht="30.0" customHeight="1">
      <c r="D314" s="246"/>
      <c r="K314" s="246"/>
      <c r="L314" s="246"/>
      <c r="M314" s="246"/>
      <c r="N314" s="246"/>
    </row>
    <row r="315" ht="30.0" customHeight="1">
      <c r="D315" s="246"/>
      <c r="K315" s="246"/>
      <c r="L315" s="246"/>
      <c r="M315" s="246"/>
      <c r="N315" s="246"/>
    </row>
    <row r="316" ht="30.0" customHeight="1">
      <c r="D316" s="246"/>
      <c r="K316" s="246"/>
      <c r="L316" s="246"/>
      <c r="M316" s="246"/>
      <c r="N316" s="246"/>
    </row>
    <row r="317" ht="30.0" customHeight="1">
      <c r="D317" s="246"/>
      <c r="K317" s="246"/>
      <c r="L317" s="246"/>
      <c r="M317" s="246"/>
      <c r="N317" s="246"/>
    </row>
    <row r="318" ht="30.0" customHeight="1">
      <c r="D318" s="246"/>
      <c r="K318" s="246"/>
      <c r="L318" s="246"/>
      <c r="M318" s="246"/>
      <c r="N318" s="246"/>
    </row>
    <row r="319" ht="30.0" customHeight="1">
      <c r="D319" s="246"/>
      <c r="K319" s="246"/>
      <c r="L319" s="246"/>
      <c r="M319" s="246"/>
      <c r="N319" s="246"/>
    </row>
    <row r="320" ht="30.0" customHeight="1">
      <c r="D320" s="246"/>
      <c r="K320" s="246"/>
      <c r="L320" s="246"/>
      <c r="M320" s="246"/>
      <c r="N320" s="246"/>
    </row>
    <row r="321" ht="30.0" customHeight="1">
      <c r="D321" s="246"/>
      <c r="K321" s="246"/>
      <c r="L321" s="246"/>
      <c r="M321" s="246"/>
      <c r="N321" s="246"/>
    </row>
    <row r="322" ht="30.0" customHeight="1">
      <c r="D322" s="246"/>
      <c r="K322" s="246"/>
      <c r="L322" s="246"/>
      <c r="M322" s="246"/>
      <c r="N322" s="246"/>
    </row>
    <row r="323" ht="30.0" customHeight="1">
      <c r="D323" s="246"/>
      <c r="K323" s="246"/>
      <c r="L323" s="246"/>
      <c r="M323" s="246"/>
      <c r="N323" s="246"/>
    </row>
    <row r="324" ht="30.0" customHeight="1">
      <c r="D324" s="246"/>
      <c r="K324" s="246"/>
      <c r="L324" s="246"/>
      <c r="M324" s="246"/>
      <c r="N324" s="246"/>
    </row>
    <row r="325" ht="30.0" customHeight="1">
      <c r="D325" s="246"/>
      <c r="K325" s="246"/>
      <c r="L325" s="246"/>
      <c r="M325" s="246"/>
      <c r="N325" s="246"/>
    </row>
    <row r="326" ht="30.0" customHeight="1">
      <c r="D326" s="246"/>
      <c r="K326" s="246"/>
      <c r="L326" s="246"/>
      <c r="M326" s="246"/>
      <c r="N326" s="246"/>
    </row>
    <row r="327" ht="30.0" customHeight="1">
      <c r="D327" s="246"/>
      <c r="K327" s="246"/>
      <c r="L327" s="246"/>
      <c r="M327" s="246"/>
      <c r="N327" s="246"/>
    </row>
    <row r="328" ht="30.0" customHeight="1">
      <c r="D328" s="246"/>
      <c r="K328" s="246"/>
      <c r="L328" s="246"/>
      <c r="M328" s="246"/>
      <c r="N328" s="246"/>
    </row>
    <row r="329" ht="30.0" customHeight="1">
      <c r="D329" s="246"/>
      <c r="K329" s="246"/>
      <c r="L329" s="246"/>
      <c r="M329" s="246"/>
      <c r="N329" s="246"/>
    </row>
    <row r="330" ht="30.0" customHeight="1">
      <c r="D330" s="246"/>
      <c r="K330" s="246"/>
      <c r="L330" s="246"/>
      <c r="M330" s="246"/>
      <c r="N330" s="246"/>
    </row>
    <row r="331" ht="30.0" customHeight="1">
      <c r="D331" s="246"/>
      <c r="K331" s="246"/>
      <c r="L331" s="246"/>
      <c r="M331" s="246"/>
      <c r="N331" s="246"/>
    </row>
    <row r="332" ht="30.0" customHeight="1">
      <c r="D332" s="246"/>
      <c r="K332" s="246"/>
      <c r="L332" s="246"/>
      <c r="M332" s="246"/>
      <c r="N332" s="246"/>
    </row>
    <row r="333" ht="30.0" customHeight="1">
      <c r="D333" s="246"/>
      <c r="K333" s="246"/>
      <c r="L333" s="246"/>
      <c r="M333" s="246"/>
      <c r="N333" s="246"/>
    </row>
    <row r="334" ht="30.0" customHeight="1">
      <c r="D334" s="246"/>
      <c r="K334" s="246"/>
      <c r="L334" s="246"/>
      <c r="M334" s="246"/>
      <c r="N334" s="246"/>
    </row>
    <row r="335" ht="30.0" customHeight="1">
      <c r="D335" s="246"/>
      <c r="K335" s="246"/>
      <c r="L335" s="246"/>
      <c r="M335" s="246"/>
      <c r="N335" s="246"/>
    </row>
    <row r="336" ht="30.0" customHeight="1">
      <c r="D336" s="246"/>
      <c r="K336" s="246"/>
      <c r="L336" s="246"/>
      <c r="M336" s="246"/>
      <c r="N336" s="246"/>
    </row>
    <row r="337" ht="30.0" customHeight="1">
      <c r="D337" s="246"/>
      <c r="K337" s="246"/>
      <c r="L337" s="246"/>
      <c r="M337" s="246"/>
      <c r="N337" s="246"/>
    </row>
    <row r="338" ht="30.0" customHeight="1">
      <c r="D338" s="246"/>
      <c r="K338" s="246"/>
      <c r="L338" s="246"/>
      <c r="M338" s="246"/>
      <c r="N338" s="246"/>
    </row>
    <row r="339" ht="30.0" customHeight="1">
      <c r="D339" s="246"/>
      <c r="K339" s="246"/>
      <c r="L339" s="246"/>
      <c r="M339" s="246"/>
      <c r="N339" s="246"/>
    </row>
    <row r="340" ht="30.0" customHeight="1">
      <c r="D340" s="246"/>
      <c r="K340" s="246"/>
      <c r="L340" s="246"/>
      <c r="M340" s="246"/>
      <c r="N340" s="246"/>
    </row>
    <row r="341" ht="30.0" customHeight="1">
      <c r="D341" s="246"/>
      <c r="K341" s="246"/>
      <c r="L341" s="246"/>
      <c r="M341" s="246"/>
      <c r="N341" s="246"/>
    </row>
    <row r="342" ht="30.0" customHeight="1">
      <c r="D342" s="246"/>
      <c r="K342" s="246"/>
      <c r="L342" s="246"/>
      <c r="M342" s="246"/>
      <c r="N342" s="246"/>
    </row>
    <row r="343" ht="30.0" customHeight="1">
      <c r="D343" s="246"/>
      <c r="K343" s="246"/>
      <c r="L343" s="246"/>
      <c r="M343" s="246"/>
      <c r="N343" s="246"/>
    </row>
    <row r="344" ht="30.0" customHeight="1">
      <c r="D344" s="246"/>
      <c r="K344" s="246"/>
      <c r="L344" s="246"/>
      <c r="M344" s="246"/>
      <c r="N344" s="246"/>
    </row>
    <row r="345" ht="30.0" customHeight="1">
      <c r="D345" s="246"/>
      <c r="K345" s="246"/>
      <c r="L345" s="246"/>
      <c r="M345" s="246"/>
      <c r="N345" s="246"/>
    </row>
    <row r="346" ht="30.0" customHeight="1">
      <c r="D346" s="246"/>
      <c r="K346" s="246"/>
      <c r="L346" s="246"/>
      <c r="M346" s="246"/>
      <c r="N346" s="246"/>
    </row>
    <row r="347" ht="30.0" customHeight="1">
      <c r="D347" s="246"/>
      <c r="K347" s="246"/>
      <c r="L347" s="246"/>
      <c r="M347" s="246"/>
      <c r="N347" s="246"/>
    </row>
    <row r="348" ht="30.0" customHeight="1">
      <c r="D348" s="246"/>
      <c r="K348" s="246"/>
      <c r="L348" s="246"/>
      <c r="M348" s="246"/>
      <c r="N348" s="246"/>
    </row>
    <row r="349" ht="30.0" customHeight="1">
      <c r="D349" s="246"/>
      <c r="K349" s="246"/>
      <c r="L349" s="246"/>
      <c r="M349" s="246"/>
      <c r="N349" s="246"/>
    </row>
    <row r="350" ht="30.0" customHeight="1">
      <c r="D350" s="246"/>
      <c r="K350" s="246"/>
      <c r="L350" s="246"/>
      <c r="M350" s="246"/>
      <c r="N350" s="246"/>
    </row>
    <row r="351" ht="30.0" customHeight="1">
      <c r="D351" s="246"/>
      <c r="K351" s="246"/>
      <c r="L351" s="246"/>
      <c r="M351" s="246"/>
      <c r="N351" s="246"/>
    </row>
    <row r="352" ht="30.0" customHeight="1">
      <c r="D352" s="246"/>
      <c r="K352" s="246"/>
      <c r="L352" s="246"/>
      <c r="M352" s="246"/>
      <c r="N352" s="246"/>
    </row>
    <row r="353" ht="30.0" customHeight="1">
      <c r="D353" s="246"/>
      <c r="K353" s="246"/>
      <c r="L353" s="246"/>
      <c r="M353" s="246"/>
      <c r="N353" s="246"/>
    </row>
    <row r="354" ht="30.0" customHeight="1">
      <c r="D354" s="246"/>
      <c r="K354" s="246"/>
      <c r="L354" s="246"/>
      <c r="M354" s="246"/>
      <c r="N354" s="246"/>
    </row>
    <row r="355" ht="30.0" customHeight="1">
      <c r="D355" s="246"/>
      <c r="K355" s="246"/>
      <c r="L355" s="246"/>
      <c r="M355" s="246"/>
      <c r="N355" s="246"/>
    </row>
    <row r="356" ht="30.0" customHeight="1">
      <c r="D356" s="246"/>
      <c r="K356" s="246"/>
      <c r="L356" s="246"/>
      <c r="M356" s="246"/>
      <c r="N356" s="246"/>
    </row>
    <row r="357" ht="30.0" customHeight="1">
      <c r="D357" s="246"/>
      <c r="K357" s="246"/>
      <c r="L357" s="246"/>
      <c r="M357" s="246"/>
      <c r="N357" s="246"/>
    </row>
    <row r="358" ht="30.0" customHeight="1">
      <c r="D358" s="246"/>
      <c r="K358" s="246"/>
      <c r="L358" s="246"/>
      <c r="M358" s="246"/>
      <c r="N358" s="246"/>
    </row>
    <row r="359" ht="30.0" customHeight="1">
      <c r="D359" s="246"/>
      <c r="K359" s="246"/>
      <c r="L359" s="246"/>
      <c r="M359" s="246"/>
      <c r="N359" s="246"/>
    </row>
    <row r="360" ht="30.0" customHeight="1">
      <c r="D360" s="246"/>
      <c r="K360" s="246"/>
      <c r="L360" s="246"/>
      <c r="M360" s="246"/>
      <c r="N360" s="246"/>
    </row>
    <row r="361" ht="30.0" customHeight="1">
      <c r="D361" s="246"/>
      <c r="K361" s="246"/>
      <c r="L361" s="246"/>
      <c r="M361" s="246"/>
      <c r="N361" s="246"/>
    </row>
    <row r="362" ht="30.0" customHeight="1">
      <c r="D362" s="246"/>
      <c r="K362" s="246"/>
      <c r="L362" s="246"/>
      <c r="M362" s="246"/>
      <c r="N362" s="246"/>
    </row>
    <row r="363" ht="30.0" customHeight="1">
      <c r="D363" s="246"/>
      <c r="K363" s="246"/>
      <c r="L363" s="246"/>
      <c r="M363" s="246"/>
      <c r="N363" s="246"/>
    </row>
    <row r="364" ht="30.0" customHeight="1">
      <c r="D364" s="246"/>
      <c r="K364" s="246"/>
      <c r="L364" s="246"/>
      <c r="M364" s="246"/>
      <c r="N364" s="246"/>
    </row>
    <row r="365" ht="30.0" customHeight="1">
      <c r="D365" s="246"/>
      <c r="K365" s="246"/>
      <c r="L365" s="246"/>
      <c r="M365" s="246"/>
      <c r="N365" s="246"/>
    </row>
    <row r="366" ht="30.0" customHeight="1">
      <c r="D366" s="246"/>
      <c r="K366" s="246"/>
      <c r="L366" s="246"/>
      <c r="M366" s="246"/>
      <c r="N366" s="246"/>
    </row>
    <row r="367" ht="30.0" customHeight="1">
      <c r="D367" s="246"/>
      <c r="K367" s="246"/>
      <c r="L367" s="246"/>
      <c r="M367" s="246"/>
      <c r="N367" s="246"/>
    </row>
    <row r="368" ht="30.0" customHeight="1">
      <c r="D368" s="246"/>
      <c r="K368" s="246"/>
      <c r="L368" s="246"/>
      <c r="M368" s="246"/>
      <c r="N368" s="246"/>
    </row>
    <row r="369" ht="30.0" customHeight="1">
      <c r="D369" s="246"/>
      <c r="K369" s="246"/>
      <c r="L369" s="246"/>
      <c r="M369" s="246"/>
      <c r="N369" s="246"/>
    </row>
    <row r="370" ht="30.0" customHeight="1">
      <c r="D370" s="246"/>
      <c r="K370" s="246"/>
      <c r="L370" s="246"/>
      <c r="M370" s="246"/>
      <c r="N370" s="246"/>
    </row>
    <row r="371" ht="30.0" customHeight="1">
      <c r="D371" s="246"/>
      <c r="K371" s="246"/>
      <c r="L371" s="246"/>
      <c r="M371" s="246"/>
      <c r="N371" s="246"/>
    </row>
    <row r="372" ht="30.0" customHeight="1">
      <c r="D372" s="246"/>
      <c r="K372" s="246"/>
      <c r="L372" s="246"/>
      <c r="M372" s="246"/>
      <c r="N372" s="246"/>
    </row>
    <row r="373" ht="30.0" customHeight="1">
      <c r="D373" s="246"/>
      <c r="K373" s="246"/>
      <c r="L373" s="246"/>
      <c r="M373" s="246"/>
      <c r="N373" s="246"/>
    </row>
    <row r="374" ht="30.0" customHeight="1">
      <c r="D374" s="246"/>
      <c r="K374" s="246"/>
      <c r="L374" s="246"/>
      <c r="M374" s="246"/>
      <c r="N374" s="246"/>
    </row>
    <row r="375" ht="30.0" customHeight="1">
      <c r="D375" s="246"/>
      <c r="K375" s="246"/>
      <c r="L375" s="246"/>
      <c r="M375" s="246"/>
      <c r="N375" s="246"/>
    </row>
    <row r="376" ht="30.0" customHeight="1">
      <c r="D376" s="246"/>
      <c r="K376" s="246"/>
      <c r="L376" s="246"/>
      <c r="M376" s="246"/>
      <c r="N376" s="246"/>
    </row>
    <row r="377" ht="30.0" customHeight="1">
      <c r="D377" s="246"/>
      <c r="K377" s="246"/>
      <c r="L377" s="246"/>
      <c r="M377" s="246"/>
      <c r="N377" s="246"/>
    </row>
    <row r="378" ht="30.0" customHeight="1">
      <c r="D378" s="246"/>
      <c r="K378" s="246"/>
      <c r="L378" s="246"/>
      <c r="M378" s="246"/>
      <c r="N378" s="246"/>
    </row>
    <row r="379" ht="30.0" customHeight="1">
      <c r="D379" s="246"/>
      <c r="K379" s="246"/>
      <c r="L379" s="246"/>
      <c r="M379" s="246"/>
      <c r="N379" s="246"/>
    </row>
    <row r="380" ht="30.0" customHeight="1">
      <c r="D380" s="246"/>
      <c r="K380" s="246"/>
      <c r="L380" s="246"/>
      <c r="M380" s="246"/>
      <c r="N380" s="246"/>
    </row>
    <row r="381" ht="30.0" customHeight="1">
      <c r="D381" s="246"/>
      <c r="K381" s="246"/>
      <c r="L381" s="246"/>
      <c r="M381" s="246"/>
      <c r="N381" s="246"/>
    </row>
    <row r="382" ht="30.0" customHeight="1">
      <c r="D382" s="246"/>
      <c r="K382" s="246"/>
      <c r="L382" s="246"/>
      <c r="M382" s="246"/>
      <c r="N382" s="246"/>
    </row>
    <row r="383" ht="30.0" customHeight="1">
      <c r="D383" s="246"/>
      <c r="K383" s="246"/>
      <c r="L383" s="246"/>
      <c r="M383" s="246"/>
      <c r="N383" s="246"/>
    </row>
    <row r="384" ht="30.0" customHeight="1">
      <c r="D384" s="246"/>
      <c r="K384" s="246"/>
      <c r="L384" s="246"/>
      <c r="M384" s="246"/>
      <c r="N384" s="246"/>
    </row>
    <row r="385" ht="30.0" customHeight="1">
      <c r="D385" s="246"/>
      <c r="K385" s="246"/>
      <c r="L385" s="246"/>
      <c r="M385" s="246"/>
      <c r="N385" s="246"/>
    </row>
    <row r="386" ht="30.0" customHeight="1">
      <c r="D386" s="246"/>
      <c r="K386" s="246"/>
      <c r="L386" s="246"/>
      <c r="M386" s="246"/>
      <c r="N386" s="246"/>
    </row>
    <row r="387" ht="30.0" customHeight="1">
      <c r="D387" s="246"/>
      <c r="K387" s="246"/>
      <c r="L387" s="246"/>
      <c r="M387" s="246"/>
      <c r="N387" s="246"/>
    </row>
    <row r="388" ht="30.0" customHeight="1">
      <c r="D388" s="246"/>
      <c r="K388" s="246"/>
      <c r="L388" s="246"/>
      <c r="M388" s="246"/>
      <c r="N388" s="246"/>
    </row>
    <row r="389" ht="30.0" customHeight="1">
      <c r="D389" s="246"/>
      <c r="K389" s="246"/>
      <c r="L389" s="246"/>
      <c r="M389" s="246"/>
      <c r="N389" s="246"/>
    </row>
    <row r="390" ht="30.0" customHeight="1">
      <c r="D390" s="246"/>
      <c r="K390" s="246"/>
      <c r="L390" s="246"/>
      <c r="M390" s="246"/>
      <c r="N390" s="246"/>
    </row>
    <row r="391" ht="30.0" customHeight="1">
      <c r="D391" s="246"/>
      <c r="K391" s="246"/>
      <c r="L391" s="246"/>
      <c r="M391" s="246"/>
      <c r="N391" s="246"/>
    </row>
    <row r="392" ht="30.0" customHeight="1">
      <c r="D392" s="246"/>
      <c r="K392" s="246"/>
      <c r="L392" s="246"/>
      <c r="M392" s="246"/>
      <c r="N392" s="246"/>
    </row>
    <row r="393" ht="30.0" customHeight="1">
      <c r="D393" s="246"/>
      <c r="K393" s="246"/>
      <c r="L393" s="246"/>
      <c r="M393" s="246"/>
      <c r="N393" s="246"/>
    </row>
    <row r="394" ht="30.0" customHeight="1">
      <c r="D394" s="246"/>
      <c r="K394" s="246"/>
      <c r="L394" s="246"/>
      <c r="M394" s="246"/>
      <c r="N394" s="246"/>
    </row>
    <row r="395" ht="30.0" customHeight="1">
      <c r="D395" s="246"/>
      <c r="K395" s="246"/>
      <c r="L395" s="246"/>
      <c r="M395" s="246"/>
      <c r="N395" s="246"/>
    </row>
    <row r="396" ht="30.0" customHeight="1">
      <c r="D396" s="246"/>
      <c r="K396" s="246"/>
      <c r="L396" s="246"/>
      <c r="M396" s="246"/>
      <c r="N396" s="246"/>
    </row>
    <row r="397" ht="30.0" customHeight="1">
      <c r="D397" s="246"/>
      <c r="K397" s="246"/>
      <c r="L397" s="246"/>
      <c r="M397" s="246"/>
      <c r="N397" s="246"/>
    </row>
    <row r="398" ht="30.0" customHeight="1">
      <c r="D398" s="246"/>
      <c r="K398" s="246"/>
      <c r="L398" s="246"/>
      <c r="M398" s="246"/>
      <c r="N398" s="246"/>
    </row>
    <row r="399" ht="30.0" customHeight="1">
      <c r="D399" s="246"/>
      <c r="K399" s="246"/>
      <c r="L399" s="246"/>
      <c r="M399" s="246"/>
      <c r="N399" s="246"/>
    </row>
    <row r="400" ht="30.0" customHeight="1">
      <c r="D400" s="246"/>
      <c r="K400" s="246"/>
      <c r="L400" s="246"/>
      <c r="M400" s="246"/>
      <c r="N400" s="246"/>
    </row>
    <row r="401" ht="30.0" customHeight="1">
      <c r="D401" s="246"/>
      <c r="K401" s="246"/>
      <c r="L401" s="246"/>
      <c r="M401" s="246"/>
      <c r="N401" s="246"/>
    </row>
    <row r="402" ht="30.0" customHeight="1">
      <c r="D402" s="246"/>
      <c r="K402" s="246"/>
      <c r="L402" s="246"/>
      <c r="M402" s="246"/>
      <c r="N402" s="246"/>
    </row>
    <row r="403" ht="30.0" customHeight="1">
      <c r="D403" s="246"/>
      <c r="K403" s="246"/>
      <c r="L403" s="246"/>
      <c r="M403" s="246"/>
      <c r="N403" s="246"/>
    </row>
    <row r="404" ht="30.0" customHeight="1">
      <c r="D404" s="246"/>
      <c r="K404" s="246"/>
      <c r="L404" s="246"/>
      <c r="M404" s="246"/>
      <c r="N404" s="246"/>
    </row>
    <row r="405" ht="30.0" customHeight="1">
      <c r="D405" s="246"/>
      <c r="K405" s="246"/>
      <c r="L405" s="246"/>
      <c r="M405" s="246"/>
      <c r="N405" s="246"/>
    </row>
    <row r="406" ht="30.0" customHeight="1">
      <c r="D406" s="246"/>
      <c r="K406" s="246"/>
      <c r="L406" s="246"/>
      <c r="M406" s="246"/>
      <c r="N406" s="246"/>
    </row>
    <row r="407" ht="30.0" customHeight="1">
      <c r="D407" s="246"/>
      <c r="K407" s="246"/>
      <c r="L407" s="246"/>
      <c r="M407" s="246"/>
      <c r="N407" s="246"/>
    </row>
    <row r="408" ht="30.0" customHeight="1">
      <c r="D408" s="246"/>
      <c r="K408" s="246"/>
      <c r="L408" s="246"/>
      <c r="M408" s="246"/>
      <c r="N408" s="246"/>
    </row>
    <row r="409" ht="30.0" customHeight="1">
      <c r="D409" s="246"/>
      <c r="K409" s="246"/>
      <c r="L409" s="246"/>
      <c r="M409" s="246"/>
      <c r="N409" s="246"/>
    </row>
    <row r="410" ht="30.0" customHeight="1">
      <c r="D410" s="246"/>
      <c r="K410" s="246"/>
      <c r="L410" s="246"/>
      <c r="M410" s="246"/>
      <c r="N410" s="246"/>
    </row>
    <row r="411" ht="30.0" customHeight="1">
      <c r="D411" s="246"/>
      <c r="K411" s="246"/>
      <c r="L411" s="246"/>
      <c r="M411" s="246"/>
      <c r="N411" s="246"/>
    </row>
    <row r="412" ht="30.0" customHeight="1">
      <c r="D412" s="246"/>
      <c r="K412" s="246"/>
      <c r="L412" s="246"/>
      <c r="M412" s="246"/>
      <c r="N412" s="246"/>
    </row>
    <row r="413" ht="30.0" customHeight="1">
      <c r="D413" s="246"/>
      <c r="K413" s="246"/>
      <c r="L413" s="246"/>
      <c r="M413" s="246"/>
      <c r="N413" s="246"/>
    </row>
    <row r="414" ht="30.0" customHeight="1">
      <c r="D414" s="246"/>
      <c r="K414" s="246"/>
      <c r="L414" s="246"/>
      <c r="M414" s="246"/>
      <c r="N414" s="246"/>
    </row>
    <row r="415" ht="30.0" customHeight="1">
      <c r="D415" s="246"/>
      <c r="K415" s="246"/>
      <c r="L415" s="246"/>
      <c r="M415" s="246"/>
      <c r="N415" s="246"/>
    </row>
    <row r="416" ht="30.0" customHeight="1">
      <c r="D416" s="246"/>
      <c r="K416" s="246"/>
      <c r="L416" s="246"/>
      <c r="M416" s="246"/>
      <c r="N416" s="246"/>
    </row>
    <row r="417" ht="30.0" customHeight="1">
      <c r="D417" s="246"/>
      <c r="K417" s="246"/>
      <c r="L417" s="246"/>
      <c r="M417" s="246"/>
      <c r="N417" s="246"/>
    </row>
    <row r="418" ht="30.0" customHeight="1">
      <c r="D418" s="246"/>
      <c r="K418" s="246"/>
      <c r="L418" s="246"/>
      <c r="M418" s="246"/>
      <c r="N418" s="246"/>
    </row>
    <row r="419" ht="30.0" customHeight="1">
      <c r="D419" s="246"/>
      <c r="K419" s="246"/>
      <c r="L419" s="246"/>
      <c r="M419" s="246"/>
      <c r="N419" s="246"/>
    </row>
    <row r="420" ht="30.0" customHeight="1">
      <c r="D420" s="246"/>
      <c r="K420" s="246"/>
      <c r="L420" s="246"/>
      <c r="M420" s="246"/>
      <c r="N420" s="246"/>
    </row>
    <row r="421" ht="30.0" customHeight="1">
      <c r="D421" s="246"/>
      <c r="K421" s="246"/>
      <c r="L421" s="246"/>
      <c r="M421" s="246"/>
      <c r="N421" s="246"/>
    </row>
    <row r="422" ht="30.0" customHeight="1">
      <c r="D422" s="246"/>
      <c r="K422" s="246"/>
      <c r="L422" s="246"/>
      <c r="M422" s="246"/>
      <c r="N422" s="246"/>
    </row>
    <row r="423" ht="30.0" customHeight="1">
      <c r="D423" s="246"/>
      <c r="K423" s="246"/>
      <c r="L423" s="246"/>
      <c r="M423" s="246"/>
      <c r="N423" s="246"/>
    </row>
    <row r="424" ht="30.0" customHeight="1">
      <c r="D424" s="246"/>
      <c r="K424" s="246"/>
      <c r="L424" s="246"/>
      <c r="M424" s="246"/>
      <c r="N424" s="246"/>
    </row>
    <row r="425" ht="30.0" customHeight="1">
      <c r="D425" s="246"/>
      <c r="K425" s="246"/>
      <c r="L425" s="246"/>
      <c r="M425" s="246"/>
      <c r="N425" s="246"/>
    </row>
    <row r="426" ht="30.0" customHeight="1">
      <c r="D426" s="246"/>
      <c r="K426" s="246"/>
      <c r="L426" s="246"/>
      <c r="M426" s="246"/>
      <c r="N426" s="246"/>
    </row>
    <row r="427" ht="30.0" customHeight="1">
      <c r="D427" s="246"/>
      <c r="K427" s="246"/>
      <c r="L427" s="246"/>
      <c r="M427" s="246"/>
      <c r="N427" s="246"/>
    </row>
    <row r="428" ht="30.0" customHeight="1">
      <c r="D428" s="246"/>
      <c r="K428" s="246"/>
      <c r="L428" s="246"/>
      <c r="M428" s="246"/>
      <c r="N428" s="246"/>
    </row>
    <row r="429" ht="30.0" customHeight="1">
      <c r="D429" s="246"/>
      <c r="K429" s="246"/>
      <c r="L429" s="246"/>
      <c r="M429" s="246"/>
      <c r="N429" s="246"/>
    </row>
    <row r="430" ht="30.0" customHeight="1">
      <c r="D430" s="246"/>
      <c r="K430" s="246"/>
      <c r="L430" s="246"/>
      <c r="M430" s="246"/>
      <c r="N430" s="246"/>
    </row>
    <row r="431" ht="30.0" customHeight="1">
      <c r="D431" s="246"/>
      <c r="K431" s="246"/>
      <c r="L431" s="246"/>
      <c r="M431" s="246"/>
      <c r="N431" s="246"/>
    </row>
    <row r="432" ht="30.0" customHeight="1">
      <c r="D432" s="246"/>
      <c r="K432" s="246"/>
      <c r="L432" s="246"/>
      <c r="M432" s="246"/>
      <c r="N432" s="246"/>
    </row>
    <row r="433" ht="30.0" customHeight="1">
      <c r="D433" s="246"/>
      <c r="K433" s="246"/>
      <c r="L433" s="246"/>
      <c r="M433" s="246"/>
      <c r="N433" s="246"/>
    </row>
    <row r="434" ht="30.0" customHeight="1">
      <c r="D434" s="246"/>
      <c r="K434" s="246"/>
      <c r="L434" s="246"/>
      <c r="M434" s="246"/>
      <c r="N434" s="246"/>
    </row>
    <row r="435" ht="30.0" customHeight="1">
      <c r="D435" s="246"/>
      <c r="K435" s="246"/>
      <c r="L435" s="246"/>
      <c r="M435" s="246"/>
      <c r="N435" s="246"/>
    </row>
    <row r="436" ht="30.0" customHeight="1">
      <c r="D436" s="246"/>
      <c r="K436" s="246"/>
      <c r="L436" s="246"/>
      <c r="M436" s="246"/>
      <c r="N436" s="246"/>
    </row>
    <row r="437" ht="30.0" customHeight="1">
      <c r="D437" s="246"/>
      <c r="K437" s="246"/>
      <c r="L437" s="246"/>
      <c r="M437" s="246"/>
      <c r="N437" s="246"/>
    </row>
    <row r="438" ht="30.0" customHeight="1">
      <c r="D438" s="246"/>
      <c r="K438" s="246"/>
      <c r="L438" s="246"/>
      <c r="M438" s="246"/>
      <c r="N438" s="246"/>
    </row>
    <row r="439" ht="30.0" customHeight="1">
      <c r="D439" s="246"/>
      <c r="K439" s="246"/>
      <c r="L439" s="246"/>
      <c r="M439" s="246"/>
      <c r="N439" s="246"/>
    </row>
    <row r="440" ht="30.0" customHeight="1">
      <c r="D440" s="246"/>
      <c r="K440" s="246"/>
      <c r="L440" s="246"/>
      <c r="M440" s="246"/>
      <c r="N440" s="246"/>
    </row>
    <row r="441" ht="30.0" customHeight="1">
      <c r="D441" s="246"/>
      <c r="K441" s="246"/>
      <c r="L441" s="246"/>
      <c r="M441" s="246"/>
      <c r="N441" s="246"/>
    </row>
    <row r="442" ht="30.0" customHeight="1">
      <c r="D442" s="246"/>
      <c r="K442" s="246"/>
      <c r="L442" s="246"/>
      <c r="M442" s="246"/>
      <c r="N442" s="246"/>
    </row>
    <row r="443" ht="30.0" customHeight="1">
      <c r="D443" s="246"/>
      <c r="K443" s="246"/>
      <c r="L443" s="246"/>
      <c r="M443" s="246"/>
      <c r="N443" s="246"/>
    </row>
    <row r="444" ht="30.0" customHeight="1">
      <c r="D444" s="246"/>
      <c r="K444" s="246"/>
      <c r="L444" s="246"/>
      <c r="M444" s="246"/>
      <c r="N444" s="246"/>
    </row>
    <row r="445" ht="30.0" customHeight="1">
      <c r="D445" s="246"/>
      <c r="K445" s="246"/>
      <c r="L445" s="246"/>
      <c r="M445" s="246"/>
      <c r="N445" s="246"/>
    </row>
    <row r="446" ht="30.0" customHeight="1">
      <c r="D446" s="246"/>
      <c r="K446" s="246"/>
      <c r="L446" s="246"/>
      <c r="M446" s="246"/>
      <c r="N446" s="246"/>
    </row>
    <row r="447" ht="30.0" customHeight="1">
      <c r="D447" s="246"/>
      <c r="K447" s="246"/>
      <c r="L447" s="246"/>
      <c r="M447" s="246"/>
      <c r="N447" s="246"/>
    </row>
    <row r="448" ht="30.0" customHeight="1">
      <c r="D448" s="246"/>
      <c r="K448" s="246"/>
      <c r="L448" s="246"/>
      <c r="M448" s="246"/>
      <c r="N448" s="246"/>
    </row>
    <row r="449" ht="30.0" customHeight="1">
      <c r="D449" s="246"/>
      <c r="K449" s="246"/>
      <c r="L449" s="246"/>
      <c r="M449" s="246"/>
      <c r="N449" s="246"/>
    </row>
    <row r="450" ht="30.0" customHeight="1">
      <c r="D450" s="246"/>
      <c r="K450" s="246"/>
      <c r="L450" s="246"/>
      <c r="M450" s="246"/>
      <c r="N450" s="246"/>
    </row>
    <row r="451" ht="30.0" customHeight="1">
      <c r="D451" s="246"/>
      <c r="K451" s="246"/>
      <c r="L451" s="246"/>
      <c r="M451" s="246"/>
      <c r="N451" s="246"/>
    </row>
    <row r="452" ht="30.0" customHeight="1">
      <c r="D452" s="246"/>
      <c r="K452" s="246"/>
      <c r="L452" s="246"/>
      <c r="M452" s="246"/>
      <c r="N452" s="246"/>
    </row>
    <row r="453" ht="30.0" customHeight="1">
      <c r="D453" s="246"/>
      <c r="K453" s="246"/>
      <c r="L453" s="246"/>
      <c r="M453" s="246"/>
      <c r="N453" s="246"/>
    </row>
    <row r="454" ht="30.0" customHeight="1">
      <c r="D454" s="246"/>
      <c r="K454" s="246"/>
      <c r="L454" s="246"/>
      <c r="M454" s="246"/>
      <c r="N454" s="246"/>
    </row>
    <row r="455" ht="30.0" customHeight="1">
      <c r="D455" s="246"/>
      <c r="K455" s="246"/>
      <c r="L455" s="246"/>
      <c r="M455" s="246"/>
      <c r="N455" s="246"/>
    </row>
    <row r="456" ht="30.0" customHeight="1">
      <c r="D456" s="246"/>
      <c r="K456" s="246"/>
      <c r="L456" s="246"/>
      <c r="M456" s="246"/>
      <c r="N456" s="246"/>
    </row>
    <row r="457" ht="30.0" customHeight="1">
      <c r="D457" s="246"/>
      <c r="K457" s="246"/>
      <c r="L457" s="246"/>
      <c r="M457" s="246"/>
      <c r="N457" s="246"/>
    </row>
    <row r="458" ht="30.0" customHeight="1">
      <c r="D458" s="246"/>
      <c r="K458" s="246"/>
      <c r="L458" s="246"/>
      <c r="M458" s="246"/>
      <c r="N458" s="246"/>
    </row>
    <row r="459" ht="30.0" customHeight="1">
      <c r="D459" s="246"/>
      <c r="K459" s="246"/>
      <c r="L459" s="246"/>
      <c r="M459" s="246"/>
      <c r="N459" s="246"/>
    </row>
    <row r="460" ht="30.0" customHeight="1">
      <c r="D460" s="246"/>
      <c r="K460" s="246"/>
      <c r="L460" s="246"/>
      <c r="M460" s="246"/>
      <c r="N460" s="246"/>
    </row>
    <row r="461" ht="30.0" customHeight="1">
      <c r="D461" s="246"/>
      <c r="K461" s="246"/>
      <c r="L461" s="246"/>
      <c r="M461" s="246"/>
      <c r="N461" s="246"/>
    </row>
    <row r="462" ht="30.0" customHeight="1">
      <c r="D462" s="246"/>
      <c r="K462" s="246"/>
      <c r="L462" s="246"/>
      <c r="M462" s="246"/>
      <c r="N462" s="246"/>
    </row>
    <row r="463" ht="30.0" customHeight="1">
      <c r="D463" s="246"/>
      <c r="K463" s="246"/>
      <c r="L463" s="246"/>
      <c r="M463" s="246"/>
      <c r="N463" s="246"/>
    </row>
    <row r="464" ht="30.0" customHeight="1">
      <c r="D464" s="246"/>
      <c r="K464" s="246"/>
      <c r="L464" s="246"/>
      <c r="M464" s="246"/>
      <c r="N464" s="246"/>
    </row>
    <row r="465" ht="30.0" customHeight="1">
      <c r="D465" s="246"/>
      <c r="K465" s="246"/>
      <c r="L465" s="246"/>
      <c r="M465" s="246"/>
      <c r="N465" s="246"/>
    </row>
    <row r="466" ht="30.0" customHeight="1">
      <c r="D466" s="246"/>
      <c r="K466" s="246"/>
      <c r="L466" s="246"/>
      <c r="M466" s="246"/>
      <c r="N466" s="246"/>
    </row>
    <row r="467" ht="30.0" customHeight="1">
      <c r="D467" s="246"/>
      <c r="K467" s="246"/>
      <c r="L467" s="246"/>
      <c r="M467" s="246"/>
      <c r="N467" s="246"/>
    </row>
    <row r="468" ht="30.0" customHeight="1">
      <c r="D468" s="246"/>
      <c r="K468" s="246"/>
      <c r="L468" s="246"/>
      <c r="M468" s="246"/>
      <c r="N468" s="246"/>
    </row>
    <row r="469" ht="30.0" customHeight="1">
      <c r="D469" s="246"/>
      <c r="K469" s="246"/>
      <c r="L469" s="246"/>
      <c r="M469" s="246"/>
      <c r="N469" s="246"/>
    </row>
    <row r="470" ht="30.0" customHeight="1">
      <c r="D470" s="246"/>
      <c r="K470" s="246"/>
      <c r="L470" s="246"/>
      <c r="M470" s="246"/>
      <c r="N470" s="246"/>
    </row>
    <row r="471" ht="30.0" customHeight="1">
      <c r="D471" s="246"/>
      <c r="K471" s="246"/>
      <c r="L471" s="246"/>
      <c r="M471" s="246"/>
      <c r="N471" s="246"/>
    </row>
    <row r="472" ht="30.0" customHeight="1">
      <c r="D472" s="246"/>
      <c r="K472" s="246"/>
      <c r="L472" s="246"/>
      <c r="M472" s="246"/>
      <c r="N472" s="246"/>
    </row>
    <row r="473" ht="30.0" customHeight="1">
      <c r="D473" s="246"/>
      <c r="K473" s="246"/>
      <c r="L473" s="246"/>
      <c r="M473" s="246"/>
      <c r="N473" s="246"/>
    </row>
    <row r="474" ht="30.0" customHeight="1">
      <c r="D474" s="246"/>
      <c r="K474" s="246"/>
      <c r="L474" s="246"/>
      <c r="M474" s="246"/>
      <c r="N474" s="246"/>
    </row>
    <row r="475" ht="30.0" customHeight="1">
      <c r="D475" s="246"/>
      <c r="K475" s="246"/>
      <c r="L475" s="246"/>
      <c r="M475" s="246"/>
      <c r="N475" s="246"/>
    </row>
    <row r="476" ht="30.0" customHeight="1">
      <c r="D476" s="246"/>
      <c r="K476" s="246"/>
      <c r="L476" s="246"/>
      <c r="M476" s="246"/>
      <c r="N476" s="246"/>
    </row>
    <row r="477" ht="30.0" customHeight="1">
      <c r="D477" s="246"/>
      <c r="K477" s="246"/>
      <c r="L477" s="246"/>
      <c r="M477" s="246"/>
      <c r="N477" s="246"/>
    </row>
    <row r="478" ht="30.0" customHeight="1">
      <c r="D478" s="246"/>
      <c r="K478" s="246"/>
      <c r="L478" s="246"/>
      <c r="M478" s="246"/>
      <c r="N478" s="246"/>
    </row>
    <row r="479" ht="30.0" customHeight="1">
      <c r="D479" s="246"/>
      <c r="K479" s="246"/>
      <c r="L479" s="246"/>
      <c r="M479" s="246"/>
      <c r="N479" s="246"/>
    </row>
    <row r="480" ht="30.0" customHeight="1">
      <c r="D480" s="246"/>
      <c r="K480" s="246"/>
      <c r="L480" s="246"/>
      <c r="M480" s="246"/>
      <c r="N480" s="246"/>
    </row>
    <row r="481" ht="30.0" customHeight="1">
      <c r="D481" s="246"/>
      <c r="K481" s="246"/>
      <c r="L481" s="246"/>
      <c r="M481" s="246"/>
      <c r="N481" s="246"/>
    </row>
    <row r="482" ht="30.0" customHeight="1">
      <c r="D482" s="246"/>
      <c r="K482" s="246"/>
      <c r="L482" s="246"/>
      <c r="M482" s="246"/>
      <c r="N482" s="246"/>
    </row>
    <row r="483" ht="30.0" customHeight="1">
      <c r="D483" s="246"/>
      <c r="K483" s="246"/>
      <c r="L483" s="246"/>
      <c r="M483" s="246"/>
      <c r="N483" s="246"/>
    </row>
    <row r="484" ht="30.0" customHeight="1">
      <c r="D484" s="246"/>
      <c r="K484" s="246"/>
      <c r="L484" s="246"/>
      <c r="M484" s="246"/>
      <c r="N484" s="246"/>
    </row>
    <row r="485" ht="30.0" customHeight="1">
      <c r="D485" s="246"/>
      <c r="K485" s="246"/>
      <c r="L485" s="246"/>
      <c r="M485" s="246"/>
      <c r="N485" s="246"/>
    </row>
    <row r="486" ht="30.0" customHeight="1">
      <c r="D486" s="246"/>
      <c r="K486" s="246"/>
      <c r="L486" s="246"/>
      <c r="M486" s="246"/>
      <c r="N486" s="246"/>
    </row>
    <row r="487" ht="30.0" customHeight="1">
      <c r="D487" s="246"/>
      <c r="K487" s="246"/>
      <c r="L487" s="246"/>
      <c r="M487" s="246"/>
      <c r="N487" s="246"/>
    </row>
    <row r="488" ht="30.0" customHeight="1">
      <c r="D488" s="246"/>
      <c r="K488" s="246"/>
      <c r="L488" s="246"/>
      <c r="M488" s="246"/>
      <c r="N488" s="246"/>
    </row>
    <row r="489" ht="30.0" customHeight="1">
      <c r="D489" s="246"/>
      <c r="K489" s="246"/>
      <c r="L489" s="246"/>
      <c r="M489" s="246"/>
      <c r="N489" s="246"/>
    </row>
    <row r="490" ht="30.0" customHeight="1">
      <c r="D490" s="246"/>
      <c r="K490" s="246"/>
      <c r="L490" s="246"/>
      <c r="M490" s="246"/>
      <c r="N490" s="246"/>
    </row>
    <row r="491" ht="30.0" customHeight="1">
      <c r="D491" s="246"/>
      <c r="K491" s="246"/>
      <c r="L491" s="246"/>
      <c r="M491" s="246"/>
      <c r="N491" s="246"/>
    </row>
    <row r="492" ht="30.0" customHeight="1">
      <c r="D492" s="246"/>
      <c r="K492" s="246"/>
      <c r="L492" s="246"/>
      <c r="M492" s="246"/>
      <c r="N492" s="246"/>
    </row>
    <row r="493" ht="30.0" customHeight="1">
      <c r="D493" s="246"/>
      <c r="K493" s="246"/>
      <c r="L493" s="246"/>
      <c r="M493" s="246"/>
      <c r="N493" s="246"/>
    </row>
    <row r="494" ht="30.0" customHeight="1">
      <c r="D494" s="246"/>
      <c r="K494" s="246"/>
      <c r="L494" s="246"/>
      <c r="M494" s="246"/>
      <c r="N494" s="246"/>
    </row>
    <row r="495" ht="30.0" customHeight="1">
      <c r="D495" s="246"/>
      <c r="K495" s="246"/>
      <c r="L495" s="246"/>
      <c r="M495" s="246"/>
      <c r="N495" s="246"/>
    </row>
    <row r="496" ht="30.0" customHeight="1">
      <c r="D496" s="246"/>
      <c r="K496" s="246"/>
      <c r="L496" s="246"/>
      <c r="M496" s="246"/>
      <c r="N496" s="246"/>
    </row>
    <row r="497" ht="30.0" customHeight="1">
      <c r="D497" s="246"/>
      <c r="K497" s="246"/>
      <c r="L497" s="246"/>
      <c r="M497" s="246"/>
      <c r="N497" s="246"/>
    </row>
    <row r="498" ht="30.0" customHeight="1">
      <c r="D498" s="246"/>
      <c r="K498" s="246"/>
      <c r="L498" s="246"/>
      <c r="M498" s="246"/>
      <c r="N498" s="246"/>
    </row>
    <row r="499" ht="30.0" customHeight="1">
      <c r="D499" s="246"/>
      <c r="K499" s="246"/>
      <c r="L499" s="246"/>
      <c r="M499" s="246"/>
      <c r="N499" s="246"/>
    </row>
    <row r="500" ht="30.0" customHeight="1">
      <c r="D500" s="246"/>
      <c r="K500" s="246"/>
      <c r="L500" s="246"/>
      <c r="M500" s="246"/>
      <c r="N500" s="246"/>
    </row>
    <row r="501" ht="30.0" customHeight="1">
      <c r="D501" s="246"/>
      <c r="K501" s="246"/>
      <c r="L501" s="246"/>
      <c r="M501" s="246"/>
      <c r="N501" s="246"/>
    </row>
    <row r="502" ht="30.0" customHeight="1">
      <c r="D502" s="246"/>
      <c r="K502" s="246"/>
      <c r="L502" s="246"/>
      <c r="M502" s="246"/>
      <c r="N502" s="246"/>
    </row>
    <row r="503" ht="30.0" customHeight="1">
      <c r="D503" s="246"/>
      <c r="K503" s="246"/>
      <c r="L503" s="246"/>
      <c r="M503" s="246"/>
      <c r="N503" s="246"/>
    </row>
    <row r="504" ht="30.0" customHeight="1">
      <c r="D504" s="246"/>
      <c r="K504" s="246"/>
      <c r="L504" s="246"/>
      <c r="M504" s="246"/>
      <c r="N504" s="246"/>
    </row>
    <row r="505" ht="30.0" customHeight="1">
      <c r="D505" s="246"/>
      <c r="K505" s="246"/>
      <c r="L505" s="246"/>
      <c r="M505" s="246"/>
      <c r="N505" s="246"/>
    </row>
    <row r="506" ht="30.0" customHeight="1">
      <c r="D506" s="246"/>
      <c r="K506" s="246"/>
      <c r="L506" s="246"/>
      <c r="M506" s="246"/>
      <c r="N506" s="246"/>
    </row>
    <row r="507" ht="30.0" customHeight="1">
      <c r="D507" s="246"/>
      <c r="K507" s="246"/>
      <c r="L507" s="246"/>
      <c r="M507" s="246"/>
      <c r="N507" s="246"/>
    </row>
    <row r="508" ht="30.0" customHeight="1">
      <c r="D508" s="246"/>
      <c r="K508" s="246"/>
      <c r="L508" s="246"/>
      <c r="M508" s="246"/>
      <c r="N508" s="246"/>
    </row>
    <row r="509" ht="30.0" customHeight="1">
      <c r="D509" s="246"/>
      <c r="K509" s="246"/>
      <c r="L509" s="246"/>
      <c r="M509" s="246"/>
      <c r="N509" s="246"/>
    </row>
    <row r="510" ht="30.0" customHeight="1">
      <c r="D510" s="246"/>
      <c r="K510" s="246"/>
      <c r="L510" s="246"/>
      <c r="M510" s="246"/>
      <c r="N510" s="246"/>
    </row>
    <row r="511" ht="30.0" customHeight="1">
      <c r="D511" s="246"/>
      <c r="K511" s="246"/>
      <c r="L511" s="246"/>
      <c r="M511" s="246"/>
      <c r="N511" s="246"/>
    </row>
    <row r="512" ht="30.0" customHeight="1">
      <c r="D512" s="246"/>
      <c r="K512" s="246"/>
      <c r="L512" s="246"/>
      <c r="M512" s="246"/>
      <c r="N512" s="246"/>
    </row>
    <row r="513" ht="30.0" customHeight="1">
      <c r="D513" s="246"/>
      <c r="K513" s="246"/>
      <c r="L513" s="246"/>
      <c r="M513" s="246"/>
      <c r="N513" s="246"/>
    </row>
    <row r="514" ht="30.0" customHeight="1">
      <c r="D514" s="246"/>
      <c r="K514" s="246"/>
      <c r="L514" s="246"/>
      <c r="M514" s="246"/>
      <c r="N514" s="246"/>
    </row>
    <row r="515" ht="30.0" customHeight="1">
      <c r="D515" s="246"/>
      <c r="K515" s="246"/>
      <c r="L515" s="246"/>
      <c r="M515" s="246"/>
      <c r="N515" s="246"/>
    </row>
    <row r="516" ht="30.0" customHeight="1">
      <c r="D516" s="246"/>
      <c r="K516" s="246"/>
      <c r="L516" s="246"/>
      <c r="M516" s="246"/>
      <c r="N516" s="246"/>
    </row>
    <row r="517" ht="30.0" customHeight="1">
      <c r="D517" s="246"/>
      <c r="K517" s="246"/>
      <c r="L517" s="246"/>
      <c r="M517" s="246"/>
      <c r="N517" s="246"/>
    </row>
    <row r="518" ht="30.0" customHeight="1">
      <c r="D518" s="246"/>
      <c r="K518" s="246"/>
      <c r="L518" s="246"/>
      <c r="M518" s="246"/>
      <c r="N518" s="246"/>
    </row>
    <row r="519" ht="30.0" customHeight="1">
      <c r="D519" s="246"/>
      <c r="K519" s="246"/>
      <c r="L519" s="246"/>
      <c r="M519" s="246"/>
      <c r="N519" s="246"/>
    </row>
    <row r="520" ht="30.0" customHeight="1">
      <c r="D520" s="246"/>
      <c r="K520" s="246"/>
      <c r="L520" s="246"/>
      <c r="M520" s="246"/>
      <c r="N520" s="246"/>
    </row>
    <row r="521" ht="30.0" customHeight="1">
      <c r="D521" s="246"/>
      <c r="K521" s="246"/>
      <c r="L521" s="246"/>
      <c r="M521" s="246"/>
      <c r="N521" s="246"/>
    </row>
    <row r="522" ht="30.0" customHeight="1">
      <c r="D522" s="246"/>
      <c r="K522" s="246"/>
      <c r="L522" s="246"/>
      <c r="M522" s="246"/>
      <c r="N522" s="246"/>
    </row>
    <row r="523" ht="30.0" customHeight="1">
      <c r="D523" s="246"/>
      <c r="K523" s="246"/>
      <c r="L523" s="246"/>
      <c r="M523" s="246"/>
      <c r="N523" s="246"/>
    </row>
    <row r="524" ht="30.0" customHeight="1">
      <c r="D524" s="246"/>
      <c r="K524" s="246"/>
      <c r="L524" s="246"/>
      <c r="M524" s="246"/>
      <c r="N524" s="246"/>
    </row>
    <row r="525" ht="30.0" customHeight="1">
      <c r="D525" s="246"/>
      <c r="K525" s="246"/>
      <c r="L525" s="246"/>
      <c r="M525" s="246"/>
      <c r="N525" s="246"/>
    </row>
    <row r="526" ht="30.0" customHeight="1">
      <c r="D526" s="246"/>
      <c r="K526" s="246"/>
      <c r="L526" s="246"/>
      <c r="M526" s="246"/>
      <c r="N526" s="246"/>
    </row>
    <row r="527" ht="30.0" customHeight="1">
      <c r="D527" s="246"/>
      <c r="K527" s="246"/>
      <c r="L527" s="246"/>
      <c r="M527" s="246"/>
      <c r="N527" s="246"/>
    </row>
    <row r="528" ht="30.0" customHeight="1">
      <c r="D528" s="246"/>
      <c r="K528" s="246"/>
      <c r="L528" s="246"/>
      <c r="M528" s="246"/>
      <c r="N528" s="246"/>
    </row>
    <row r="529" ht="30.0" customHeight="1">
      <c r="D529" s="246"/>
      <c r="K529" s="246"/>
      <c r="L529" s="246"/>
      <c r="M529" s="246"/>
      <c r="N529" s="246"/>
    </row>
    <row r="530" ht="30.0" customHeight="1">
      <c r="D530" s="246"/>
      <c r="K530" s="246"/>
      <c r="L530" s="246"/>
      <c r="M530" s="246"/>
      <c r="N530" s="246"/>
    </row>
    <row r="531" ht="30.0" customHeight="1">
      <c r="D531" s="246"/>
      <c r="K531" s="246"/>
      <c r="L531" s="246"/>
      <c r="M531" s="246"/>
      <c r="N531" s="246"/>
    </row>
    <row r="532" ht="30.0" customHeight="1">
      <c r="D532" s="246"/>
      <c r="K532" s="246"/>
      <c r="L532" s="246"/>
      <c r="M532" s="246"/>
      <c r="N532" s="246"/>
    </row>
    <row r="533" ht="30.0" customHeight="1">
      <c r="D533" s="246"/>
      <c r="K533" s="246"/>
      <c r="L533" s="246"/>
      <c r="M533" s="246"/>
      <c r="N533" s="246"/>
    </row>
    <row r="534" ht="30.0" customHeight="1">
      <c r="D534" s="246"/>
      <c r="K534" s="246"/>
      <c r="L534" s="246"/>
      <c r="M534" s="246"/>
      <c r="N534" s="246"/>
    </row>
    <row r="535" ht="30.0" customHeight="1">
      <c r="D535" s="246"/>
      <c r="K535" s="246"/>
      <c r="L535" s="246"/>
      <c r="M535" s="246"/>
      <c r="N535" s="246"/>
    </row>
    <row r="536" ht="30.0" customHeight="1">
      <c r="D536" s="246"/>
      <c r="K536" s="246"/>
      <c r="L536" s="246"/>
      <c r="M536" s="246"/>
      <c r="N536" s="246"/>
    </row>
    <row r="537" ht="30.0" customHeight="1">
      <c r="D537" s="246"/>
      <c r="K537" s="246"/>
      <c r="L537" s="246"/>
      <c r="M537" s="246"/>
      <c r="N537" s="246"/>
    </row>
    <row r="538" ht="30.0" customHeight="1">
      <c r="D538" s="246"/>
      <c r="K538" s="246"/>
      <c r="L538" s="246"/>
      <c r="M538" s="246"/>
      <c r="N538" s="246"/>
    </row>
    <row r="539" ht="30.0" customHeight="1">
      <c r="D539" s="246"/>
      <c r="K539" s="246"/>
      <c r="L539" s="246"/>
      <c r="M539" s="246"/>
      <c r="N539" s="246"/>
    </row>
    <row r="540" ht="30.0" customHeight="1">
      <c r="D540" s="246"/>
      <c r="K540" s="246"/>
      <c r="L540" s="246"/>
      <c r="M540" s="246"/>
      <c r="N540" s="246"/>
    </row>
    <row r="541" ht="30.0" customHeight="1">
      <c r="D541" s="246"/>
      <c r="K541" s="246"/>
      <c r="L541" s="246"/>
      <c r="M541" s="246"/>
      <c r="N541" s="246"/>
    </row>
    <row r="542" ht="30.0" customHeight="1">
      <c r="D542" s="246"/>
      <c r="K542" s="246"/>
      <c r="L542" s="246"/>
      <c r="M542" s="246"/>
      <c r="N542" s="246"/>
    </row>
    <row r="543" ht="30.0" customHeight="1">
      <c r="D543" s="246"/>
      <c r="K543" s="246"/>
      <c r="L543" s="246"/>
      <c r="M543" s="246"/>
      <c r="N543" s="246"/>
    </row>
    <row r="544" ht="30.0" customHeight="1">
      <c r="D544" s="246"/>
      <c r="K544" s="246"/>
      <c r="L544" s="246"/>
      <c r="M544" s="246"/>
      <c r="N544" s="246"/>
    </row>
    <row r="545" ht="30.0" customHeight="1">
      <c r="D545" s="246"/>
      <c r="K545" s="246"/>
      <c r="L545" s="246"/>
      <c r="M545" s="246"/>
      <c r="N545" s="246"/>
    </row>
    <row r="546" ht="30.0" customHeight="1">
      <c r="D546" s="246"/>
      <c r="K546" s="246"/>
      <c r="L546" s="246"/>
      <c r="M546" s="246"/>
      <c r="N546" s="246"/>
    </row>
    <row r="547" ht="30.0" customHeight="1">
      <c r="D547" s="246"/>
      <c r="K547" s="246"/>
      <c r="L547" s="246"/>
      <c r="M547" s="246"/>
      <c r="N547" s="246"/>
    </row>
    <row r="548" ht="30.0" customHeight="1">
      <c r="D548" s="246"/>
      <c r="K548" s="246"/>
      <c r="L548" s="246"/>
      <c r="M548" s="246"/>
      <c r="N548" s="246"/>
    </row>
    <row r="549" ht="30.0" customHeight="1">
      <c r="D549" s="246"/>
      <c r="K549" s="246"/>
      <c r="L549" s="246"/>
      <c r="M549" s="246"/>
      <c r="N549" s="246"/>
    </row>
    <row r="550" ht="30.0" customHeight="1">
      <c r="D550" s="246"/>
      <c r="K550" s="246"/>
      <c r="L550" s="246"/>
      <c r="M550" s="246"/>
      <c r="N550" s="246"/>
    </row>
    <row r="551" ht="30.0" customHeight="1">
      <c r="D551" s="246"/>
      <c r="K551" s="246"/>
      <c r="L551" s="246"/>
      <c r="M551" s="246"/>
      <c r="N551" s="246"/>
    </row>
    <row r="552" ht="30.0" customHeight="1">
      <c r="D552" s="246"/>
      <c r="K552" s="246"/>
      <c r="L552" s="246"/>
      <c r="M552" s="246"/>
      <c r="N552" s="246"/>
    </row>
    <row r="553" ht="30.0" customHeight="1">
      <c r="D553" s="246"/>
      <c r="K553" s="246"/>
      <c r="L553" s="246"/>
      <c r="M553" s="246"/>
      <c r="N553" s="246"/>
    </row>
    <row r="554" ht="30.0" customHeight="1">
      <c r="D554" s="246"/>
      <c r="K554" s="246"/>
      <c r="L554" s="246"/>
      <c r="M554" s="246"/>
      <c r="N554" s="246"/>
    </row>
    <row r="555" ht="30.0" customHeight="1">
      <c r="D555" s="246"/>
      <c r="K555" s="246"/>
      <c r="L555" s="246"/>
      <c r="M555" s="246"/>
      <c r="N555" s="246"/>
    </row>
    <row r="556" ht="30.0" customHeight="1">
      <c r="D556" s="246"/>
      <c r="K556" s="246"/>
      <c r="L556" s="246"/>
      <c r="M556" s="246"/>
      <c r="N556" s="246"/>
    </row>
    <row r="557" ht="30.0" customHeight="1">
      <c r="D557" s="246"/>
      <c r="K557" s="246"/>
      <c r="L557" s="246"/>
      <c r="M557" s="246"/>
      <c r="N557" s="246"/>
    </row>
    <row r="558" ht="30.0" customHeight="1">
      <c r="D558" s="246"/>
      <c r="K558" s="246"/>
      <c r="L558" s="246"/>
      <c r="M558" s="246"/>
      <c r="N558" s="246"/>
    </row>
    <row r="559" ht="30.0" customHeight="1">
      <c r="D559" s="246"/>
      <c r="K559" s="246"/>
      <c r="L559" s="246"/>
      <c r="M559" s="246"/>
      <c r="N559" s="246"/>
    </row>
    <row r="560" ht="30.0" customHeight="1">
      <c r="D560" s="246"/>
      <c r="K560" s="246"/>
      <c r="L560" s="246"/>
      <c r="M560" s="246"/>
      <c r="N560" s="246"/>
    </row>
    <row r="561" ht="30.0" customHeight="1">
      <c r="D561" s="246"/>
      <c r="K561" s="246"/>
      <c r="L561" s="246"/>
      <c r="M561" s="246"/>
      <c r="N561" s="246"/>
    </row>
    <row r="562" ht="30.0" customHeight="1">
      <c r="D562" s="246"/>
      <c r="K562" s="246"/>
      <c r="L562" s="246"/>
      <c r="M562" s="246"/>
      <c r="N562" s="246"/>
    </row>
    <row r="563" ht="30.0" customHeight="1">
      <c r="D563" s="246"/>
      <c r="K563" s="246"/>
      <c r="L563" s="246"/>
      <c r="M563" s="246"/>
      <c r="N563" s="246"/>
    </row>
    <row r="564" ht="30.0" customHeight="1">
      <c r="D564" s="246"/>
      <c r="K564" s="246"/>
      <c r="L564" s="246"/>
      <c r="M564" s="246"/>
      <c r="N564" s="246"/>
    </row>
    <row r="565" ht="30.0" customHeight="1">
      <c r="D565" s="246"/>
      <c r="K565" s="246"/>
      <c r="L565" s="246"/>
      <c r="M565" s="246"/>
      <c r="N565" s="246"/>
    </row>
    <row r="566" ht="30.0" customHeight="1">
      <c r="D566" s="246"/>
      <c r="K566" s="246"/>
      <c r="L566" s="246"/>
      <c r="M566" s="246"/>
      <c r="N566" s="246"/>
    </row>
    <row r="567" ht="30.0" customHeight="1">
      <c r="D567" s="246"/>
      <c r="K567" s="246"/>
      <c r="L567" s="246"/>
      <c r="M567" s="246"/>
      <c r="N567" s="246"/>
    </row>
    <row r="568" ht="30.0" customHeight="1">
      <c r="D568" s="246"/>
      <c r="K568" s="246"/>
      <c r="L568" s="246"/>
      <c r="M568" s="246"/>
      <c r="N568" s="246"/>
    </row>
    <row r="569" ht="30.0" customHeight="1">
      <c r="D569" s="246"/>
      <c r="K569" s="246"/>
      <c r="L569" s="246"/>
      <c r="M569" s="246"/>
      <c r="N569" s="246"/>
    </row>
    <row r="570" ht="30.0" customHeight="1">
      <c r="D570" s="246"/>
      <c r="K570" s="246"/>
      <c r="L570" s="246"/>
      <c r="M570" s="246"/>
      <c r="N570" s="246"/>
    </row>
    <row r="571" ht="30.0" customHeight="1">
      <c r="D571" s="246"/>
      <c r="K571" s="246"/>
      <c r="L571" s="246"/>
      <c r="M571" s="246"/>
      <c r="N571" s="246"/>
    </row>
    <row r="572" ht="30.0" customHeight="1">
      <c r="D572" s="246"/>
      <c r="K572" s="246"/>
      <c r="L572" s="246"/>
      <c r="M572" s="246"/>
      <c r="N572" s="246"/>
    </row>
    <row r="573" ht="30.0" customHeight="1">
      <c r="D573" s="246"/>
      <c r="K573" s="246"/>
      <c r="L573" s="246"/>
      <c r="M573" s="246"/>
      <c r="N573" s="246"/>
    </row>
    <row r="574" ht="30.0" customHeight="1">
      <c r="D574" s="246"/>
      <c r="K574" s="246"/>
      <c r="L574" s="246"/>
      <c r="M574" s="246"/>
      <c r="N574" s="246"/>
    </row>
    <row r="575" ht="30.0" customHeight="1">
      <c r="D575" s="246"/>
      <c r="K575" s="246"/>
      <c r="L575" s="246"/>
      <c r="M575" s="246"/>
      <c r="N575" s="246"/>
    </row>
    <row r="576" ht="30.0" customHeight="1">
      <c r="D576" s="246"/>
      <c r="K576" s="246"/>
      <c r="L576" s="246"/>
      <c r="M576" s="246"/>
      <c r="N576" s="246"/>
    </row>
    <row r="577" ht="30.0" customHeight="1">
      <c r="D577" s="246"/>
      <c r="K577" s="246"/>
      <c r="L577" s="246"/>
      <c r="M577" s="246"/>
      <c r="N577" s="246"/>
    </row>
    <row r="578" ht="30.0" customHeight="1">
      <c r="D578" s="246"/>
      <c r="K578" s="246"/>
      <c r="L578" s="246"/>
      <c r="M578" s="246"/>
      <c r="N578" s="246"/>
    </row>
    <row r="579" ht="30.0" customHeight="1">
      <c r="D579" s="246"/>
      <c r="K579" s="246"/>
      <c r="L579" s="246"/>
      <c r="M579" s="246"/>
      <c r="N579" s="246"/>
    </row>
    <row r="580" ht="30.0" customHeight="1">
      <c r="D580" s="246"/>
      <c r="K580" s="246"/>
      <c r="L580" s="246"/>
      <c r="M580" s="246"/>
      <c r="N580" s="246"/>
    </row>
    <row r="581" ht="30.0" customHeight="1">
      <c r="D581" s="246"/>
      <c r="K581" s="246"/>
      <c r="L581" s="246"/>
      <c r="M581" s="246"/>
      <c r="N581" s="246"/>
    </row>
    <row r="582" ht="30.0" customHeight="1">
      <c r="D582" s="246"/>
      <c r="K582" s="246"/>
      <c r="L582" s="246"/>
      <c r="M582" s="246"/>
      <c r="N582" s="246"/>
    </row>
    <row r="583" ht="30.0" customHeight="1">
      <c r="D583" s="246"/>
      <c r="K583" s="246"/>
      <c r="L583" s="246"/>
      <c r="M583" s="246"/>
      <c r="N583" s="246"/>
    </row>
    <row r="584" ht="30.0" customHeight="1">
      <c r="D584" s="246"/>
      <c r="K584" s="246"/>
      <c r="L584" s="246"/>
      <c r="M584" s="246"/>
      <c r="N584" s="246"/>
    </row>
    <row r="585" ht="30.0" customHeight="1">
      <c r="D585" s="246"/>
      <c r="K585" s="246"/>
      <c r="L585" s="246"/>
      <c r="M585" s="246"/>
      <c r="N585" s="246"/>
    </row>
    <row r="586" ht="30.0" customHeight="1">
      <c r="D586" s="246"/>
      <c r="K586" s="246"/>
      <c r="L586" s="246"/>
      <c r="M586" s="246"/>
      <c r="N586" s="246"/>
    </row>
    <row r="587" ht="30.0" customHeight="1">
      <c r="D587" s="246"/>
      <c r="K587" s="246"/>
      <c r="L587" s="246"/>
      <c r="M587" s="246"/>
      <c r="N587" s="246"/>
    </row>
    <row r="588" ht="30.0" customHeight="1">
      <c r="D588" s="246"/>
      <c r="K588" s="246"/>
      <c r="L588" s="246"/>
      <c r="M588" s="246"/>
      <c r="N588" s="246"/>
    </row>
    <row r="589" ht="30.0" customHeight="1">
      <c r="D589" s="246"/>
      <c r="K589" s="246"/>
      <c r="L589" s="246"/>
      <c r="M589" s="246"/>
      <c r="N589" s="246"/>
    </row>
    <row r="590" ht="30.0" customHeight="1">
      <c r="D590" s="246"/>
      <c r="K590" s="246"/>
      <c r="L590" s="246"/>
      <c r="M590" s="246"/>
      <c r="N590" s="246"/>
    </row>
    <row r="591" ht="30.0" customHeight="1">
      <c r="D591" s="246"/>
      <c r="K591" s="246"/>
      <c r="L591" s="246"/>
      <c r="M591" s="246"/>
      <c r="N591" s="246"/>
    </row>
    <row r="592" ht="30.0" customHeight="1">
      <c r="D592" s="246"/>
      <c r="K592" s="246"/>
      <c r="L592" s="246"/>
      <c r="M592" s="246"/>
      <c r="N592" s="246"/>
    </row>
    <row r="593" ht="30.0" customHeight="1">
      <c r="D593" s="246"/>
      <c r="K593" s="246"/>
      <c r="L593" s="246"/>
      <c r="M593" s="246"/>
      <c r="N593" s="246"/>
    </row>
    <row r="594" ht="30.0" customHeight="1">
      <c r="D594" s="246"/>
      <c r="K594" s="246"/>
      <c r="L594" s="246"/>
      <c r="M594" s="246"/>
      <c r="N594" s="246"/>
    </row>
    <row r="595" ht="30.0" customHeight="1">
      <c r="D595" s="246"/>
      <c r="K595" s="246"/>
      <c r="L595" s="246"/>
      <c r="M595" s="246"/>
      <c r="N595" s="246"/>
    </row>
    <row r="596" ht="30.0" customHeight="1">
      <c r="D596" s="246"/>
      <c r="K596" s="246"/>
      <c r="L596" s="246"/>
      <c r="M596" s="246"/>
      <c r="N596" s="246"/>
    </row>
    <row r="597" ht="30.0" customHeight="1">
      <c r="D597" s="246"/>
      <c r="K597" s="246"/>
      <c r="L597" s="246"/>
      <c r="M597" s="246"/>
      <c r="N597" s="246"/>
    </row>
    <row r="598" ht="30.0" customHeight="1">
      <c r="D598" s="246"/>
      <c r="K598" s="246"/>
      <c r="L598" s="246"/>
      <c r="M598" s="246"/>
      <c r="N598" s="246"/>
    </row>
    <row r="599" ht="30.0" customHeight="1">
      <c r="D599" s="246"/>
      <c r="K599" s="246"/>
      <c r="L599" s="246"/>
      <c r="M599" s="246"/>
      <c r="N599" s="246"/>
    </row>
    <row r="600" ht="30.0" customHeight="1">
      <c r="D600" s="246"/>
      <c r="K600" s="246"/>
      <c r="L600" s="246"/>
      <c r="M600" s="246"/>
      <c r="N600" s="246"/>
    </row>
    <row r="601" ht="30.0" customHeight="1">
      <c r="D601" s="246"/>
      <c r="K601" s="246"/>
      <c r="L601" s="246"/>
      <c r="M601" s="246"/>
      <c r="N601" s="246"/>
    </row>
    <row r="602" ht="30.0" customHeight="1">
      <c r="D602" s="246"/>
      <c r="K602" s="246"/>
      <c r="L602" s="246"/>
      <c r="M602" s="246"/>
      <c r="N602" s="246"/>
    </row>
    <row r="603" ht="30.0" customHeight="1">
      <c r="D603" s="246"/>
      <c r="K603" s="246"/>
      <c r="L603" s="246"/>
      <c r="M603" s="246"/>
      <c r="N603" s="246"/>
    </row>
    <row r="604" ht="30.0" customHeight="1">
      <c r="D604" s="246"/>
      <c r="K604" s="246"/>
      <c r="L604" s="246"/>
      <c r="M604" s="246"/>
      <c r="N604" s="246"/>
    </row>
    <row r="605" ht="30.0" customHeight="1">
      <c r="D605" s="246"/>
      <c r="K605" s="246"/>
      <c r="L605" s="246"/>
      <c r="M605" s="246"/>
      <c r="N605" s="246"/>
    </row>
    <row r="606" ht="30.0" customHeight="1">
      <c r="D606" s="246"/>
      <c r="K606" s="246"/>
      <c r="L606" s="246"/>
      <c r="M606" s="246"/>
      <c r="N606" s="246"/>
    </row>
    <row r="607" ht="30.0" customHeight="1">
      <c r="D607" s="246"/>
      <c r="K607" s="246"/>
      <c r="L607" s="246"/>
      <c r="M607" s="246"/>
      <c r="N607" s="246"/>
    </row>
    <row r="608" ht="30.0" customHeight="1">
      <c r="D608" s="246"/>
      <c r="K608" s="246"/>
      <c r="L608" s="246"/>
      <c r="M608" s="246"/>
      <c r="N608" s="246"/>
    </row>
    <row r="609" ht="30.0" customHeight="1">
      <c r="D609" s="246"/>
      <c r="K609" s="246"/>
      <c r="L609" s="246"/>
      <c r="M609" s="246"/>
      <c r="N609" s="246"/>
    </row>
    <row r="610" ht="30.0" customHeight="1">
      <c r="D610" s="246"/>
      <c r="K610" s="246"/>
      <c r="L610" s="246"/>
      <c r="M610" s="246"/>
      <c r="N610" s="246"/>
    </row>
    <row r="611" ht="30.0" customHeight="1">
      <c r="D611" s="246"/>
      <c r="K611" s="246"/>
      <c r="L611" s="246"/>
      <c r="M611" s="246"/>
      <c r="N611" s="246"/>
    </row>
    <row r="612" ht="30.0" customHeight="1">
      <c r="D612" s="246"/>
      <c r="K612" s="246"/>
      <c r="L612" s="246"/>
      <c r="M612" s="246"/>
      <c r="N612" s="246"/>
    </row>
    <row r="613" ht="30.0" customHeight="1">
      <c r="D613" s="246"/>
      <c r="K613" s="246"/>
      <c r="L613" s="246"/>
      <c r="M613" s="246"/>
      <c r="N613" s="246"/>
    </row>
    <row r="614" ht="30.0" customHeight="1">
      <c r="D614" s="246"/>
      <c r="K614" s="246"/>
      <c r="L614" s="246"/>
      <c r="M614" s="246"/>
      <c r="N614" s="246"/>
    </row>
    <row r="615" ht="30.0" customHeight="1">
      <c r="D615" s="246"/>
      <c r="K615" s="246"/>
      <c r="L615" s="246"/>
      <c r="M615" s="246"/>
      <c r="N615" s="246"/>
    </row>
    <row r="616" ht="30.0" customHeight="1">
      <c r="D616" s="246"/>
      <c r="K616" s="246"/>
      <c r="L616" s="246"/>
      <c r="M616" s="246"/>
      <c r="N616" s="246"/>
    </row>
    <row r="617" ht="30.0" customHeight="1">
      <c r="D617" s="246"/>
      <c r="K617" s="246"/>
      <c r="L617" s="246"/>
      <c r="M617" s="246"/>
      <c r="N617" s="246"/>
    </row>
    <row r="618" ht="30.0" customHeight="1">
      <c r="D618" s="246"/>
      <c r="K618" s="246"/>
      <c r="L618" s="246"/>
      <c r="M618" s="246"/>
      <c r="N618" s="246"/>
    </row>
    <row r="619" ht="30.0" customHeight="1">
      <c r="D619" s="246"/>
      <c r="K619" s="246"/>
      <c r="L619" s="246"/>
      <c r="M619" s="246"/>
      <c r="N619" s="246"/>
    </row>
    <row r="620" ht="30.0" customHeight="1">
      <c r="D620" s="246"/>
      <c r="K620" s="246"/>
      <c r="L620" s="246"/>
      <c r="M620" s="246"/>
      <c r="N620" s="246"/>
    </row>
    <row r="621" ht="30.0" customHeight="1">
      <c r="D621" s="246"/>
      <c r="K621" s="246"/>
      <c r="L621" s="246"/>
      <c r="M621" s="246"/>
      <c r="N621" s="246"/>
    </row>
    <row r="622" ht="30.0" customHeight="1">
      <c r="D622" s="246"/>
      <c r="K622" s="246"/>
      <c r="L622" s="246"/>
      <c r="M622" s="246"/>
      <c r="N622" s="246"/>
    </row>
    <row r="623" ht="30.0" customHeight="1">
      <c r="D623" s="246"/>
      <c r="K623" s="246"/>
      <c r="L623" s="246"/>
      <c r="M623" s="246"/>
      <c r="N623" s="246"/>
    </row>
    <row r="624" ht="30.0" customHeight="1">
      <c r="D624" s="246"/>
      <c r="K624" s="246"/>
      <c r="L624" s="246"/>
      <c r="M624" s="246"/>
      <c r="N624" s="246"/>
    </row>
    <row r="625" ht="30.0" customHeight="1">
      <c r="D625" s="246"/>
      <c r="K625" s="246"/>
      <c r="L625" s="246"/>
      <c r="M625" s="246"/>
      <c r="N625" s="246"/>
    </row>
    <row r="626" ht="30.0" customHeight="1">
      <c r="D626" s="246"/>
      <c r="K626" s="246"/>
      <c r="L626" s="246"/>
      <c r="M626" s="246"/>
      <c r="N626" s="246"/>
    </row>
    <row r="627" ht="30.0" customHeight="1">
      <c r="D627" s="246"/>
      <c r="K627" s="246"/>
      <c r="L627" s="246"/>
      <c r="M627" s="246"/>
      <c r="N627" s="246"/>
    </row>
    <row r="628" ht="30.0" customHeight="1">
      <c r="D628" s="246"/>
      <c r="K628" s="246"/>
      <c r="L628" s="246"/>
      <c r="M628" s="246"/>
      <c r="N628" s="246"/>
    </row>
    <row r="629" ht="30.0" customHeight="1">
      <c r="D629" s="246"/>
      <c r="K629" s="246"/>
      <c r="L629" s="246"/>
      <c r="M629" s="246"/>
      <c r="N629" s="246"/>
    </row>
    <row r="630" ht="30.0" customHeight="1">
      <c r="D630" s="246"/>
      <c r="K630" s="246"/>
      <c r="L630" s="246"/>
      <c r="M630" s="246"/>
      <c r="N630" s="246"/>
    </row>
    <row r="631" ht="30.0" customHeight="1">
      <c r="D631" s="246"/>
      <c r="K631" s="246"/>
      <c r="L631" s="246"/>
      <c r="M631" s="246"/>
      <c r="N631" s="246"/>
    </row>
    <row r="632" ht="30.0" customHeight="1">
      <c r="D632" s="246"/>
      <c r="K632" s="246"/>
      <c r="L632" s="246"/>
      <c r="M632" s="246"/>
      <c r="N632" s="246"/>
    </row>
    <row r="633" ht="30.0" customHeight="1">
      <c r="D633" s="246"/>
      <c r="K633" s="246"/>
      <c r="L633" s="246"/>
      <c r="M633" s="246"/>
      <c r="N633" s="246"/>
    </row>
    <row r="634" ht="30.0" customHeight="1">
      <c r="D634" s="246"/>
      <c r="K634" s="246"/>
      <c r="L634" s="246"/>
      <c r="M634" s="246"/>
      <c r="N634" s="246"/>
    </row>
    <row r="635" ht="30.0" customHeight="1">
      <c r="D635" s="246"/>
      <c r="K635" s="246"/>
      <c r="L635" s="246"/>
      <c r="M635" s="246"/>
      <c r="N635" s="246"/>
    </row>
    <row r="636" ht="30.0" customHeight="1">
      <c r="D636" s="246"/>
      <c r="K636" s="246"/>
      <c r="L636" s="246"/>
      <c r="M636" s="246"/>
      <c r="N636" s="246"/>
    </row>
    <row r="637" ht="30.0" customHeight="1">
      <c r="D637" s="246"/>
      <c r="K637" s="246"/>
      <c r="L637" s="246"/>
      <c r="M637" s="246"/>
      <c r="N637" s="246"/>
    </row>
    <row r="638" ht="30.0" customHeight="1">
      <c r="D638" s="246"/>
      <c r="K638" s="246"/>
      <c r="L638" s="246"/>
      <c r="M638" s="246"/>
      <c r="N638" s="246"/>
    </row>
    <row r="639" ht="30.0" customHeight="1">
      <c r="D639" s="246"/>
      <c r="K639" s="246"/>
      <c r="L639" s="246"/>
      <c r="M639" s="246"/>
      <c r="N639" s="246"/>
    </row>
    <row r="640" ht="30.0" customHeight="1">
      <c r="D640" s="246"/>
      <c r="K640" s="246"/>
      <c r="L640" s="246"/>
      <c r="M640" s="246"/>
      <c r="N640" s="246"/>
    </row>
    <row r="641" ht="30.0" customHeight="1">
      <c r="D641" s="246"/>
      <c r="K641" s="246"/>
      <c r="L641" s="246"/>
      <c r="M641" s="246"/>
      <c r="N641" s="246"/>
    </row>
    <row r="642" ht="30.0" customHeight="1">
      <c r="D642" s="246"/>
      <c r="K642" s="246"/>
      <c r="L642" s="246"/>
      <c r="M642" s="246"/>
      <c r="N642" s="246"/>
    </row>
    <row r="643" ht="30.0" customHeight="1">
      <c r="D643" s="246"/>
      <c r="K643" s="246"/>
      <c r="L643" s="246"/>
      <c r="M643" s="246"/>
      <c r="N643" s="246"/>
    </row>
    <row r="644" ht="30.0" customHeight="1">
      <c r="D644" s="246"/>
      <c r="K644" s="246"/>
      <c r="L644" s="246"/>
      <c r="M644" s="246"/>
      <c r="N644" s="246"/>
    </row>
    <row r="645" ht="30.0" customHeight="1">
      <c r="D645" s="246"/>
      <c r="K645" s="246"/>
      <c r="L645" s="246"/>
      <c r="M645" s="246"/>
      <c r="N645" s="246"/>
    </row>
    <row r="646" ht="30.0" customHeight="1">
      <c r="D646" s="246"/>
      <c r="K646" s="246"/>
      <c r="L646" s="246"/>
      <c r="M646" s="246"/>
      <c r="N646" s="246"/>
    </row>
    <row r="647" ht="30.0" customHeight="1">
      <c r="D647" s="246"/>
      <c r="K647" s="246"/>
      <c r="L647" s="246"/>
      <c r="M647" s="246"/>
      <c r="N647" s="246"/>
    </row>
    <row r="648" ht="30.0" customHeight="1">
      <c r="D648" s="246"/>
      <c r="K648" s="246"/>
      <c r="L648" s="246"/>
      <c r="M648" s="246"/>
      <c r="N648" s="246"/>
    </row>
    <row r="649" ht="30.0" customHeight="1">
      <c r="D649" s="246"/>
      <c r="K649" s="246"/>
      <c r="L649" s="246"/>
      <c r="M649" s="246"/>
      <c r="N649" s="246"/>
    </row>
    <row r="650" ht="30.0" customHeight="1">
      <c r="D650" s="246"/>
      <c r="K650" s="246"/>
      <c r="L650" s="246"/>
      <c r="M650" s="246"/>
      <c r="N650" s="246"/>
    </row>
    <row r="651" ht="30.0" customHeight="1">
      <c r="D651" s="246"/>
      <c r="K651" s="246"/>
      <c r="L651" s="246"/>
      <c r="M651" s="246"/>
      <c r="N651" s="246"/>
    </row>
    <row r="652" ht="30.0" customHeight="1">
      <c r="D652" s="246"/>
      <c r="K652" s="246"/>
      <c r="L652" s="246"/>
      <c r="M652" s="246"/>
      <c r="N652" s="246"/>
    </row>
    <row r="653" ht="30.0" customHeight="1">
      <c r="D653" s="246"/>
      <c r="K653" s="246"/>
      <c r="L653" s="246"/>
      <c r="M653" s="246"/>
      <c r="N653" s="246"/>
    </row>
    <row r="654" ht="30.0" customHeight="1">
      <c r="D654" s="246"/>
      <c r="K654" s="246"/>
      <c r="L654" s="246"/>
      <c r="M654" s="246"/>
      <c r="N654" s="246"/>
    </row>
    <row r="655" ht="30.0" customHeight="1">
      <c r="D655" s="246"/>
      <c r="K655" s="246"/>
      <c r="L655" s="246"/>
      <c r="M655" s="246"/>
      <c r="N655" s="246"/>
    </row>
    <row r="656" ht="30.0" customHeight="1">
      <c r="D656" s="246"/>
      <c r="K656" s="246"/>
      <c r="L656" s="246"/>
      <c r="M656" s="246"/>
      <c r="N656" s="246"/>
    </row>
    <row r="657" ht="30.0" customHeight="1">
      <c r="D657" s="246"/>
      <c r="K657" s="246"/>
      <c r="L657" s="246"/>
      <c r="M657" s="246"/>
      <c r="N657" s="246"/>
    </row>
    <row r="658" ht="30.0" customHeight="1">
      <c r="D658" s="246"/>
      <c r="K658" s="246"/>
      <c r="L658" s="246"/>
      <c r="M658" s="246"/>
      <c r="N658" s="246"/>
    </row>
    <row r="659" ht="30.0" customHeight="1">
      <c r="D659" s="246"/>
      <c r="K659" s="246"/>
      <c r="L659" s="246"/>
      <c r="M659" s="246"/>
      <c r="N659" s="246"/>
    </row>
    <row r="660" ht="30.0" customHeight="1">
      <c r="D660" s="246"/>
      <c r="K660" s="246"/>
      <c r="L660" s="246"/>
      <c r="M660" s="246"/>
      <c r="N660" s="246"/>
    </row>
    <row r="661" ht="30.0" customHeight="1">
      <c r="D661" s="246"/>
      <c r="K661" s="246"/>
      <c r="L661" s="246"/>
      <c r="M661" s="246"/>
      <c r="N661" s="246"/>
    </row>
    <row r="662" ht="30.0" customHeight="1">
      <c r="D662" s="246"/>
      <c r="K662" s="246"/>
      <c r="L662" s="246"/>
      <c r="M662" s="246"/>
      <c r="N662" s="246"/>
    </row>
    <row r="663" ht="30.0" customHeight="1">
      <c r="D663" s="246"/>
      <c r="K663" s="246"/>
      <c r="L663" s="246"/>
      <c r="M663" s="246"/>
      <c r="N663" s="246"/>
    </row>
    <row r="664" ht="30.0" customHeight="1">
      <c r="D664" s="246"/>
      <c r="K664" s="246"/>
      <c r="L664" s="246"/>
      <c r="M664" s="246"/>
      <c r="N664" s="246"/>
    </row>
    <row r="665" ht="30.0" customHeight="1">
      <c r="D665" s="246"/>
      <c r="K665" s="246"/>
      <c r="L665" s="246"/>
      <c r="M665" s="246"/>
      <c r="N665" s="246"/>
    </row>
    <row r="666" ht="30.0" customHeight="1">
      <c r="D666" s="246"/>
      <c r="K666" s="246"/>
      <c r="L666" s="246"/>
      <c r="M666" s="246"/>
      <c r="N666" s="246"/>
    </row>
    <row r="667" ht="30.0" customHeight="1">
      <c r="D667" s="246"/>
      <c r="K667" s="246"/>
      <c r="L667" s="246"/>
      <c r="M667" s="246"/>
      <c r="N667" s="246"/>
    </row>
    <row r="668" ht="30.0" customHeight="1">
      <c r="D668" s="246"/>
      <c r="K668" s="246"/>
      <c r="L668" s="246"/>
      <c r="M668" s="246"/>
      <c r="N668" s="246"/>
    </row>
    <row r="669" ht="30.0" customHeight="1">
      <c r="D669" s="246"/>
      <c r="K669" s="246"/>
      <c r="L669" s="246"/>
      <c r="M669" s="246"/>
      <c r="N669" s="246"/>
    </row>
    <row r="670" ht="30.0" customHeight="1">
      <c r="D670" s="246"/>
      <c r="K670" s="246"/>
      <c r="L670" s="246"/>
      <c r="M670" s="246"/>
      <c r="N670" s="246"/>
    </row>
    <row r="671" ht="30.0" customHeight="1">
      <c r="D671" s="246"/>
      <c r="K671" s="246"/>
      <c r="L671" s="246"/>
      <c r="M671" s="246"/>
      <c r="N671" s="246"/>
    </row>
    <row r="672" ht="30.0" customHeight="1">
      <c r="D672" s="246"/>
      <c r="K672" s="246"/>
      <c r="L672" s="246"/>
      <c r="M672" s="246"/>
      <c r="N672" s="246"/>
    </row>
    <row r="673" ht="30.0" customHeight="1">
      <c r="D673" s="246"/>
      <c r="K673" s="246"/>
      <c r="L673" s="246"/>
      <c r="M673" s="246"/>
      <c r="N673" s="246"/>
    </row>
    <row r="674" ht="30.0" customHeight="1">
      <c r="D674" s="246"/>
      <c r="K674" s="246"/>
      <c r="L674" s="246"/>
      <c r="M674" s="246"/>
      <c r="N674" s="246"/>
    </row>
    <row r="675" ht="30.0" customHeight="1">
      <c r="D675" s="246"/>
      <c r="K675" s="246"/>
      <c r="L675" s="246"/>
      <c r="M675" s="246"/>
      <c r="N675" s="246"/>
    </row>
    <row r="676" ht="30.0" customHeight="1">
      <c r="D676" s="246"/>
      <c r="K676" s="246"/>
      <c r="L676" s="246"/>
      <c r="M676" s="246"/>
      <c r="N676" s="246"/>
    </row>
    <row r="677" ht="30.0" customHeight="1">
      <c r="D677" s="246"/>
      <c r="K677" s="246"/>
      <c r="L677" s="246"/>
      <c r="M677" s="246"/>
      <c r="N677" s="246"/>
    </row>
    <row r="678" ht="30.0" customHeight="1">
      <c r="D678" s="246"/>
      <c r="K678" s="246"/>
      <c r="L678" s="246"/>
      <c r="M678" s="246"/>
      <c r="N678" s="246"/>
    </row>
    <row r="679" ht="30.0" customHeight="1">
      <c r="D679" s="246"/>
      <c r="K679" s="246"/>
      <c r="L679" s="246"/>
      <c r="M679" s="246"/>
      <c r="N679" s="246"/>
    </row>
    <row r="680" ht="30.0" customHeight="1">
      <c r="D680" s="246"/>
      <c r="K680" s="246"/>
      <c r="L680" s="246"/>
      <c r="M680" s="246"/>
      <c r="N680" s="246"/>
    </row>
    <row r="681" ht="30.0" customHeight="1">
      <c r="D681" s="246"/>
      <c r="K681" s="246"/>
      <c r="L681" s="246"/>
      <c r="M681" s="246"/>
      <c r="N681" s="246"/>
    </row>
    <row r="682" ht="30.0" customHeight="1">
      <c r="D682" s="246"/>
      <c r="K682" s="246"/>
      <c r="L682" s="246"/>
      <c r="M682" s="246"/>
      <c r="N682" s="246"/>
    </row>
    <row r="683" ht="30.0" customHeight="1">
      <c r="D683" s="246"/>
      <c r="K683" s="246"/>
      <c r="L683" s="246"/>
      <c r="M683" s="246"/>
      <c r="N683" s="246"/>
    </row>
    <row r="684" ht="30.0" customHeight="1">
      <c r="D684" s="246"/>
      <c r="K684" s="246"/>
      <c r="L684" s="246"/>
      <c r="M684" s="246"/>
      <c r="N684" s="246"/>
    </row>
    <row r="685" ht="30.0" customHeight="1">
      <c r="D685" s="246"/>
      <c r="K685" s="246"/>
      <c r="L685" s="246"/>
      <c r="M685" s="246"/>
      <c r="N685" s="246"/>
    </row>
    <row r="686" ht="30.0" customHeight="1">
      <c r="D686" s="246"/>
      <c r="K686" s="246"/>
      <c r="L686" s="246"/>
      <c r="M686" s="246"/>
      <c r="N686" s="246"/>
    </row>
    <row r="687" ht="30.0" customHeight="1">
      <c r="D687" s="246"/>
      <c r="K687" s="246"/>
      <c r="L687" s="246"/>
      <c r="M687" s="246"/>
      <c r="N687" s="246"/>
    </row>
    <row r="688" ht="30.0" customHeight="1">
      <c r="D688" s="246"/>
      <c r="K688" s="246"/>
      <c r="L688" s="246"/>
      <c r="M688" s="246"/>
      <c r="N688" s="246"/>
    </row>
    <row r="689" ht="30.0" customHeight="1">
      <c r="D689" s="246"/>
      <c r="K689" s="246"/>
      <c r="L689" s="246"/>
      <c r="M689" s="246"/>
      <c r="N689" s="246"/>
    </row>
    <row r="690" ht="30.0" customHeight="1">
      <c r="D690" s="246"/>
      <c r="K690" s="246"/>
      <c r="L690" s="246"/>
      <c r="M690" s="246"/>
      <c r="N690" s="246"/>
    </row>
    <row r="691" ht="30.0" customHeight="1">
      <c r="D691" s="246"/>
      <c r="K691" s="246"/>
      <c r="L691" s="246"/>
      <c r="M691" s="246"/>
      <c r="N691" s="246"/>
    </row>
    <row r="692" ht="30.0" customHeight="1">
      <c r="D692" s="246"/>
      <c r="K692" s="246"/>
      <c r="L692" s="246"/>
      <c r="M692" s="246"/>
      <c r="N692" s="246"/>
    </row>
    <row r="693" ht="30.0" customHeight="1">
      <c r="D693" s="246"/>
      <c r="K693" s="246"/>
      <c r="L693" s="246"/>
      <c r="M693" s="246"/>
      <c r="N693" s="246"/>
    </row>
    <row r="694" ht="30.0" customHeight="1">
      <c r="D694" s="246"/>
      <c r="K694" s="246"/>
      <c r="L694" s="246"/>
      <c r="M694" s="246"/>
      <c r="N694" s="246"/>
    </row>
    <row r="695" ht="30.0" customHeight="1">
      <c r="D695" s="246"/>
      <c r="K695" s="246"/>
      <c r="L695" s="246"/>
      <c r="M695" s="246"/>
      <c r="N695" s="246"/>
    </row>
    <row r="696" ht="30.0" customHeight="1">
      <c r="D696" s="246"/>
      <c r="K696" s="246"/>
      <c r="L696" s="246"/>
      <c r="M696" s="246"/>
      <c r="N696" s="246"/>
    </row>
    <row r="697" ht="30.0" customHeight="1">
      <c r="D697" s="246"/>
      <c r="K697" s="246"/>
      <c r="L697" s="246"/>
      <c r="M697" s="246"/>
      <c r="N697" s="246"/>
    </row>
    <row r="698" ht="30.0" customHeight="1">
      <c r="D698" s="246"/>
      <c r="K698" s="246"/>
      <c r="L698" s="246"/>
      <c r="M698" s="246"/>
      <c r="N698" s="246"/>
    </row>
    <row r="699" ht="30.0" customHeight="1">
      <c r="D699" s="246"/>
      <c r="K699" s="246"/>
      <c r="L699" s="246"/>
      <c r="M699" s="246"/>
      <c r="N699" s="246"/>
    </row>
    <row r="700" ht="30.0" customHeight="1">
      <c r="D700" s="246"/>
      <c r="K700" s="246"/>
      <c r="L700" s="246"/>
      <c r="M700" s="246"/>
      <c r="N700" s="246"/>
    </row>
    <row r="701" ht="30.0" customHeight="1">
      <c r="D701" s="246"/>
      <c r="K701" s="246"/>
      <c r="L701" s="246"/>
      <c r="M701" s="246"/>
      <c r="N701" s="246"/>
    </row>
    <row r="702" ht="30.0" customHeight="1">
      <c r="D702" s="246"/>
      <c r="K702" s="246"/>
      <c r="L702" s="246"/>
      <c r="M702" s="246"/>
      <c r="N702" s="246"/>
    </row>
    <row r="703" ht="30.0" customHeight="1">
      <c r="D703" s="246"/>
      <c r="K703" s="246"/>
      <c r="L703" s="246"/>
      <c r="M703" s="246"/>
      <c r="N703" s="246"/>
    </row>
    <row r="704" ht="30.0" customHeight="1">
      <c r="D704" s="246"/>
      <c r="K704" s="246"/>
      <c r="L704" s="246"/>
      <c r="M704" s="246"/>
      <c r="N704" s="246"/>
    </row>
    <row r="705" ht="30.0" customHeight="1">
      <c r="D705" s="246"/>
      <c r="K705" s="246"/>
      <c r="L705" s="246"/>
      <c r="M705" s="246"/>
      <c r="N705" s="246"/>
    </row>
    <row r="706" ht="30.0" customHeight="1">
      <c r="D706" s="246"/>
      <c r="K706" s="246"/>
      <c r="L706" s="246"/>
      <c r="M706" s="246"/>
      <c r="N706" s="246"/>
    </row>
    <row r="707" ht="30.0" customHeight="1">
      <c r="D707" s="246"/>
      <c r="K707" s="246"/>
      <c r="L707" s="246"/>
      <c r="M707" s="246"/>
      <c r="N707" s="246"/>
    </row>
    <row r="708" ht="30.0" customHeight="1">
      <c r="D708" s="246"/>
      <c r="K708" s="246"/>
      <c r="L708" s="246"/>
      <c r="M708" s="246"/>
      <c r="N708" s="246"/>
    </row>
    <row r="709" ht="30.0" customHeight="1">
      <c r="D709" s="246"/>
      <c r="K709" s="246"/>
      <c r="L709" s="246"/>
      <c r="M709" s="246"/>
      <c r="N709" s="246"/>
    </row>
    <row r="710" ht="30.0" customHeight="1">
      <c r="D710" s="246"/>
      <c r="K710" s="246"/>
      <c r="L710" s="246"/>
      <c r="M710" s="246"/>
      <c r="N710" s="246"/>
    </row>
    <row r="711" ht="30.0" customHeight="1">
      <c r="D711" s="246"/>
      <c r="K711" s="246"/>
      <c r="L711" s="246"/>
      <c r="M711" s="246"/>
      <c r="N711" s="246"/>
    </row>
    <row r="712" ht="30.0" customHeight="1">
      <c r="D712" s="246"/>
      <c r="K712" s="246"/>
      <c r="L712" s="246"/>
      <c r="M712" s="246"/>
      <c r="N712" s="246"/>
    </row>
    <row r="713" ht="30.0" customHeight="1">
      <c r="D713" s="246"/>
      <c r="K713" s="246"/>
      <c r="L713" s="246"/>
      <c r="M713" s="246"/>
      <c r="N713" s="246"/>
    </row>
    <row r="714" ht="30.0" customHeight="1">
      <c r="D714" s="246"/>
      <c r="K714" s="246"/>
      <c r="L714" s="246"/>
      <c r="M714" s="246"/>
      <c r="N714" s="246"/>
    </row>
    <row r="715" ht="30.0" customHeight="1">
      <c r="D715" s="246"/>
      <c r="K715" s="246"/>
      <c r="L715" s="246"/>
      <c r="M715" s="246"/>
      <c r="N715" s="246"/>
    </row>
    <row r="716" ht="30.0" customHeight="1">
      <c r="D716" s="246"/>
      <c r="K716" s="246"/>
      <c r="L716" s="246"/>
      <c r="M716" s="246"/>
      <c r="N716" s="246"/>
    </row>
    <row r="717" ht="30.0" customHeight="1">
      <c r="D717" s="246"/>
      <c r="K717" s="246"/>
      <c r="L717" s="246"/>
      <c r="M717" s="246"/>
      <c r="N717" s="246"/>
    </row>
    <row r="718" ht="30.0" customHeight="1">
      <c r="D718" s="246"/>
      <c r="K718" s="246"/>
      <c r="L718" s="246"/>
      <c r="M718" s="246"/>
      <c r="N718" s="246"/>
    </row>
    <row r="719" ht="30.0" customHeight="1">
      <c r="D719" s="246"/>
      <c r="K719" s="246"/>
      <c r="L719" s="246"/>
      <c r="M719" s="246"/>
      <c r="N719" s="246"/>
    </row>
    <row r="720" ht="30.0" customHeight="1">
      <c r="D720" s="246"/>
      <c r="K720" s="246"/>
      <c r="L720" s="246"/>
      <c r="M720" s="246"/>
      <c r="N720" s="246"/>
    </row>
    <row r="721" ht="30.0" customHeight="1">
      <c r="D721" s="246"/>
      <c r="K721" s="246"/>
      <c r="L721" s="246"/>
      <c r="M721" s="246"/>
      <c r="N721" s="246"/>
    </row>
    <row r="722" ht="30.0" customHeight="1">
      <c r="D722" s="246"/>
      <c r="K722" s="246"/>
      <c r="L722" s="246"/>
      <c r="M722" s="246"/>
      <c r="N722" s="246"/>
    </row>
    <row r="723" ht="30.0" customHeight="1">
      <c r="D723" s="246"/>
      <c r="K723" s="246"/>
      <c r="L723" s="246"/>
      <c r="M723" s="246"/>
      <c r="N723" s="246"/>
    </row>
    <row r="724" ht="30.0" customHeight="1">
      <c r="D724" s="246"/>
      <c r="K724" s="246"/>
      <c r="L724" s="246"/>
      <c r="M724" s="246"/>
      <c r="N724" s="246"/>
    </row>
    <row r="725" ht="30.0" customHeight="1">
      <c r="D725" s="246"/>
      <c r="K725" s="246"/>
      <c r="L725" s="246"/>
      <c r="M725" s="246"/>
      <c r="N725" s="246"/>
    </row>
    <row r="726" ht="30.0" customHeight="1">
      <c r="D726" s="246"/>
      <c r="K726" s="246"/>
      <c r="L726" s="246"/>
      <c r="M726" s="246"/>
      <c r="N726" s="246"/>
    </row>
    <row r="727" ht="30.0" customHeight="1">
      <c r="D727" s="246"/>
      <c r="K727" s="246"/>
      <c r="L727" s="246"/>
      <c r="M727" s="246"/>
      <c r="N727" s="246"/>
    </row>
    <row r="728" ht="30.0" customHeight="1">
      <c r="D728" s="246"/>
      <c r="K728" s="246"/>
      <c r="L728" s="246"/>
      <c r="M728" s="246"/>
      <c r="N728" s="246"/>
    </row>
    <row r="729" ht="30.0" customHeight="1">
      <c r="D729" s="246"/>
      <c r="K729" s="246"/>
      <c r="L729" s="246"/>
      <c r="M729" s="246"/>
      <c r="N729" s="246"/>
    </row>
    <row r="730" ht="30.0" customHeight="1">
      <c r="D730" s="246"/>
      <c r="K730" s="246"/>
      <c r="L730" s="246"/>
      <c r="M730" s="246"/>
      <c r="N730" s="246"/>
    </row>
    <row r="731" ht="30.0" customHeight="1">
      <c r="D731" s="246"/>
      <c r="K731" s="246"/>
      <c r="L731" s="246"/>
      <c r="M731" s="246"/>
      <c r="N731" s="246"/>
    </row>
    <row r="732" ht="30.0" customHeight="1">
      <c r="D732" s="246"/>
      <c r="K732" s="246"/>
      <c r="L732" s="246"/>
      <c r="M732" s="246"/>
      <c r="N732" s="246"/>
    </row>
    <row r="733" ht="30.0" customHeight="1">
      <c r="D733" s="246"/>
      <c r="K733" s="246"/>
      <c r="L733" s="246"/>
      <c r="M733" s="246"/>
      <c r="N733" s="246"/>
    </row>
    <row r="734" ht="30.0" customHeight="1">
      <c r="D734" s="246"/>
      <c r="K734" s="246"/>
      <c r="L734" s="246"/>
      <c r="M734" s="246"/>
      <c r="N734" s="246"/>
    </row>
    <row r="735" ht="30.0" customHeight="1">
      <c r="D735" s="246"/>
      <c r="K735" s="246"/>
      <c r="L735" s="246"/>
      <c r="M735" s="246"/>
      <c r="N735" s="246"/>
    </row>
    <row r="736" ht="30.0" customHeight="1">
      <c r="D736" s="246"/>
      <c r="K736" s="246"/>
      <c r="L736" s="246"/>
      <c r="M736" s="246"/>
      <c r="N736" s="246"/>
    </row>
    <row r="737" ht="30.0" customHeight="1">
      <c r="D737" s="246"/>
      <c r="K737" s="246"/>
      <c r="L737" s="246"/>
      <c r="M737" s="246"/>
      <c r="N737" s="246"/>
    </row>
    <row r="738" ht="30.0" customHeight="1">
      <c r="D738" s="246"/>
      <c r="K738" s="246"/>
      <c r="L738" s="246"/>
      <c r="M738" s="246"/>
      <c r="N738" s="246"/>
    </row>
    <row r="739" ht="30.0" customHeight="1">
      <c r="D739" s="246"/>
      <c r="K739" s="246"/>
      <c r="L739" s="246"/>
      <c r="M739" s="246"/>
      <c r="N739" s="246"/>
    </row>
    <row r="740" ht="30.0" customHeight="1">
      <c r="D740" s="246"/>
      <c r="K740" s="246"/>
      <c r="L740" s="246"/>
      <c r="M740" s="246"/>
      <c r="N740" s="246"/>
    </row>
    <row r="741" ht="30.0" customHeight="1">
      <c r="D741" s="246"/>
      <c r="K741" s="246"/>
      <c r="L741" s="246"/>
      <c r="M741" s="246"/>
      <c r="N741" s="246"/>
    </row>
    <row r="742" ht="30.0" customHeight="1">
      <c r="D742" s="246"/>
      <c r="K742" s="246"/>
      <c r="L742" s="246"/>
      <c r="M742" s="246"/>
      <c r="N742" s="246"/>
    </row>
    <row r="743" ht="30.0" customHeight="1">
      <c r="D743" s="246"/>
      <c r="K743" s="246"/>
      <c r="L743" s="246"/>
      <c r="M743" s="246"/>
      <c r="N743" s="246"/>
    </row>
    <row r="744" ht="30.0" customHeight="1">
      <c r="D744" s="246"/>
      <c r="K744" s="246"/>
      <c r="L744" s="246"/>
      <c r="M744" s="246"/>
      <c r="N744" s="246"/>
    </row>
    <row r="745" ht="30.0" customHeight="1">
      <c r="D745" s="246"/>
      <c r="K745" s="246"/>
      <c r="L745" s="246"/>
      <c r="M745" s="246"/>
      <c r="N745" s="246"/>
    </row>
    <row r="746" ht="30.0" customHeight="1">
      <c r="D746" s="246"/>
      <c r="K746" s="246"/>
      <c r="L746" s="246"/>
      <c r="M746" s="246"/>
      <c r="N746" s="246"/>
    </row>
    <row r="747" ht="30.0" customHeight="1">
      <c r="D747" s="246"/>
      <c r="K747" s="246"/>
      <c r="L747" s="246"/>
      <c r="M747" s="246"/>
      <c r="N747" s="246"/>
    </row>
    <row r="748" ht="30.0" customHeight="1">
      <c r="D748" s="246"/>
      <c r="K748" s="246"/>
      <c r="L748" s="246"/>
      <c r="M748" s="246"/>
      <c r="N748" s="246"/>
    </row>
    <row r="749" ht="30.0" customHeight="1">
      <c r="D749" s="246"/>
      <c r="K749" s="246"/>
      <c r="L749" s="246"/>
      <c r="M749" s="246"/>
      <c r="N749" s="246"/>
    </row>
    <row r="750" ht="30.0" customHeight="1">
      <c r="D750" s="246"/>
      <c r="K750" s="246"/>
      <c r="L750" s="246"/>
      <c r="M750" s="246"/>
      <c r="N750" s="246"/>
    </row>
    <row r="751" ht="30.0" customHeight="1">
      <c r="D751" s="246"/>
      <c r="K751" s="246"/>
      <c r="L751" s="246"/>
      <c r="M751" s="246"/>
      <c r="N751" s="246"/>
    </row>
    <row r="752" ht="30.0" customHeight="1">
      <c r="D752" s="246"/>
      <c r="K752" s="246"/>
      <c r="L752" s="246"/>
      <c r="M752" s="246"/>
      <c r="N752" s="246"/>
    </row>
    <row r="753" ht="30.0" customHeight="1">
      <c r="D753" s="246"/>
      <c r="K753" s="246"/>
      <c r="L753" s="246"/>
      <c r="M753" s="246"/>
      <c r="N753" s="246"/>
    </row>
    <row r="754" ht="30.0" customHeight="1">
      <c r="D754" s="246"/>
      <c r="K754" s="246"/>
      <c r="L754" s="246"/>
      <c r="M754" s="246"/>
      <c r="N754" s="246"/>
    </row>
    <row r="755" ht="30.0" customHeight="1">
      <c r="D755" s="246"/>
      <c r="K755" s="246"/>
      <c r="L755" s="246"/>
      <c r="M755" s="246"/>
      <c r="N755" s="246"/>
    </row>
    <row r="756" ht="30.0" customHeight="1">
      <c r="D756" s="246"/>
      <c r="K756" s="246"/>
      <c r="L756" s="246"/>
      <c r="M756" s="246"/>
      <c r="N756" s="246"/>
    </row>
    <row r="757" ht="30.0" customHeight="1">
      <c r="D757" s="246"/>
      <c r="K757" s="246"/>
      <c r="L757" s="246"/>
      <c r="M757" s="246"/>
      <c r="N757" s="246"/>
    </row>
    <row r="758" ht="30.0" customHeight="1">
      <c r="D758" s="246"/>
      <c r="K758" s="246"/>
      <c r="L758" s="246"/>
      <c r="M758" s="246"/>
      <c r="N758" s="246"/>
    </row>
    <row r="759" ht="30.0" customHeight="1">
      <c r="D759" s="246"/>
      <c r="K759" s="246"/>
      <c r="L759" s="246"/>
      <c r="M759" s="246"/>
      <c r="N759" s="246"/>
    </row>
    <row r="760" ht="30.0" customHeight="1">
      <c r="D760" s="246"/>
      <c r="K760" s="246"/>
      <c r="L760" s="246"/>
      <c r="M760" s="246"/>
      <c r="N760" s="246"/>
    </row>
    <row r="761" ht="30.0" customHeight="1">
      <c r="D761" s="246"/>
      <c r="K761" s="246"/>
      <c r="L761" s="246"/>
      <c r="M761" s="246"/>
      <c r="N761" s="246"/>
    </row>
    <row r="762" ht="30.0" customHeight="1">
      <c r="D762" s="246"/>
      <c r="K762" s="246"/>
      <c r="L762" s="246"/>
      <c r="M762" s="246"/>
      <c r="N762" s="246"/>
    </row>
    <row r="763" ht="30.0" customHeight="1">
      <c r="D763" s="246"/>
      <c r="K763" s="246"/>
      <c r="L763" s="246"/>
      <c r="M763" s="246"/>
      <c r="N763" s="246"/>
    </row>
    <row r="764" ht="30.0" customHeight="1">
      <c r="D764" s="246"/>
      <c r="K764" s="246"/>
      <c r="L764" s="246"/>
      <c r="M764" s="246"/>
      <c r="N764" s="246"/>
    </row>
    <row r="765" ht="30.0" customHeight="1">
      <c r="D765" s="246"/>
      <c r="K765" s="246"/>
      <c r="L765" s="246"/>
      <c r="M765" s="246"/>
      <c r="N765" s="246"/>
    </row>
    <row r="766" ht="30.0" customHeight="1">
      <c r="D766" s="246"/>
      <c r="K766" s="246"/>
      <c r="L766" s="246"/>
      <c r="M766" s="246"/>
      <c r="N766" s="246"/>
    </row>
    <row r="767" ht="30.0" customHeight="1">
      <c r="D767" s="246"/>
      <c r="K767" s="246"/>
      <c r="L767" s="246"/>
      <c r="M767" s="246"/>
      <c r="N767" s="246"/>
    </row>
    <row r="768" ht="30.0" customHeight="1">
      <c r="D768" s="246"/>
      <c r="K768" s="246"/>
      <c r="L768" s="246"/>
      <c r="M768" s="246"/>
      <c r="N768" s="246"/>
    </row>
    <row r="769" ht="30.0" customHeight="1">
      <c r="D769" s="246"/>
      <c r="K769" s="246"/>
      <c r="L769" s="246"/>
      <c r="M769" s="246"/>
      <c r="N769" s="246"/>
    </row>
    <row r="770" ht="30.0" customHeight="1">
      <c r="D770" s="246"/>
      <c r="K770" s="246"/>
      <c r="L770" s="246"/>
      <c r="M770" s="246"/>
      <c r="N770" s="246"/>
    </row>
    <row r="771" ht="30.0" customHeight="1">
      <c r="D771" s="246"/>
      <c r="K771" s="246"/>
      <c r="L771" s="246"/>
      <c r="M771" s="246"/>
      <c r="N771" s="246"/>
    </row>
    <row r="772" ht="30.0" customHeight="1">
      <c r="D772" s="246"/>
      <c r="K772" s="246"/>
      <c r="L772" s="246"/>
      <c r="M772" s="246"/>
      <c r="N772" s="246"/>
    </row>
    <row r="773" ht="30.0" customHeight="1">
      <c r="D773" s="246"/>
      <c r="K773" s="246"/>
      <c r="L773" s="246"/>
      <c r="M773" s="246"/>
      <c r="N773" s="246"/>
    </row>
    <row r="774" ht="30.0" customHeight="1">
      <c r="D774" s="246"/>
      <c r="K774" s="246"/>
      <c r="L774" s="246"/>
      <c r="M774" s="246"/>
      <c r="N774" s="246"/>
    </row>
    <row r="775" ht="30.0" customHeight="1">
      <c r="D775" s="246"/>
      <c r="K775" s="246"/>
      <c r="L775" s="246"/>
      <c r="M775" s="246"/>
      <c r="N775" s="246"/>
    </row>
    <row r="776" ht="30.0" customHeight="1">
      <c r="D776" s="246"/>
      <c r="K776" s="246"/>
      <c r="L776" s="246"/>
      <c r="M776" s="246"/>
      <c r="N776" s="246"/>
    </row>
    <row r="777" ht="30.0" customHeight="1">
      <c r="D777" s="246"/>
      <c r="K777" s="246"/>
      <c r="L777" s="246"/>
      <c r="M777" s="246"/>
      <c r="N777" s="246"/>
    </row>
    <row r="778" ht="30.0" customHeight="1">
      <c r="D778" s="246"/>
      <c r="K778" s="246"/>
      <c r="L778" s="246"/>
      <c r="M778" s="246"/>
      <c r="N778" s="246"/>
    </row>
    <row r="779" ht="30.0" customHeight="1">
      <c r="D779" s="246"/>
      <c r="K779" s="246"/>
      <c r="L779" s="246"/>
      <c r="M779" s="246"/>
      <c r="N779" s="246"/>
    </row>
    <row r="780" ht="30.0" customHeight="1">
      <c r="D780" s="246"/>
      <c r="K780" s="246"/>
      <c r="L780" s="246"/>
      <c r="M780" s="246"/>
      <c r="N780" s="246"/>
    </row>
    <row r="781" ht="30.0" customHeight="1">
      <c r="D781" s="246"/>
      <c r="K781" s="246"/>
      <c r="L781" s="246"/>
      <c r="M781" s="246"/>
      <c r="N781" s="246"/>
    </row>
    <row r="782" ht="30.0" customHeight="1">
      <c r="D782" s="246"/>
      <c r="K782" s="246"/>
      <c r="L782" s="246"/>
      <c r="M782" s="246"/>
      <c r="N782" s="246"/>
    </row>
    <row r="783" ht="30.0" customHeight="1">
      <c r="D783" s="246"/>
      <c r="K783" s="246"/>
      <c r="L783" s="246"/>
      <c r="M783" s="246"/>
      <c r="N783" s="246"/>
    </row>
    <row r="784" ht="30.0" customHeight="1">
      <c r="D784" s="246"/>
      <c r="K784" s="246"/>
      <c r="L784" s="246"/>
      <c r="M784" s="246"/>
      <c r="N784" s="246"/>
    </row>
    <row r="785" ht="30.0" customHeight="1">
      <c r="D785" s="246"/>
      <c r="K785" s="246"/>
      <c r="L785" s="246"/>
      <c r="M785" s="246"/>
      <c r="N785" s="246"/>
    </row>
    <row r="786" ht="30.0" customHeight="1">
      <c r="D786" s="246"/>
      <c r="K786" s="246"/>
      <c r="L786" s="246"/>
      <c r="M786" s="246"/>
      <c r="N786" s="246"/>
    </row>
    <row r="787" ht="30.0" customHeight="1">
      <c r="D787" s="246"/>
      <c r="K787" s="246"/>
      <c r="L787" s="246"/>
      <c r="M787" s="246"/>
      <c r="N787" s="246"/>
    </row>
    <row r="788" ht="30.0" customHeight="1">
      <c r="D788" s="246"/>
      <c r="K788" s="246"/>
      <c r="L788" s="246"/>
      <c r="M788" s="246"/>
      <c r="N788" s="246"/>
    </row>
    <row r="789" ht="30.0" customHeight="1">
      <c r="D789" s="246"/>
      <c r="K789" s="246"/>
      <c r="L789" s="246"/>
      <c r="M789" s="246"/>
      <c r="N789" s="246"/>
    </row>
    <row r="790" ht="30.0" customHeight="1">
      <c r="D790" s="246"/>
      <c r="K790" s="246"/>
      <c r="L790" s="246"/>
      <c r="M790" s="246"/>
      <c r="N790" s="246"/>
    </row>
    <row r="791" ht="30.0" customHeight="1">
      <c r="D791" s="246"/>
      <c r="K791" s="246"/>
      <c r="L791" s="246"/>
      <c r="M791" s="246"/>
      <c r="N791" s="246"/>
    </row>
    <row r="792" ht="30.0" customHeight="1">
      <c r="D792" s="246"/>
      <c r="K792" s="246"/>
      <c r="L792" s="246"/>
      <c r="M792" s="246"/>
      <c r="N792" s="246"/>
    </row>
    <row r="793" ht="30.0" customHeight="1">
      <c r="D793" s="246"/>
      <c r="K793" s="246"/>
      <c r="L793" s="246"/>
      <c r="M793" s="246"/>
      <c r="N793" s="246"/>
    </row>
    <row r="794" ht="30.0" customHeight="1">
      <c r="D794" s="246"/>
      <c r="K794" s="246"/>
      <c r="L794" s="246"/>
      <c r="M794" s="246"/>
      <c r="N794" s="246"/>
    </row>
    <row r="795" ht="30.0" customHeight="1">
      <c r="D795" s="246"/>
      <c r="K795" s="246"/>
      <c r="L795" s="246"/>
      <c r="M795" s="246"/>
      <c r="N795" s="246"/>
    </row>
    <row r="796" ht="30.0" customHeight="1">
      <c r="D796" s="246"/>
      <c r="K796" s="246"/>
      <c r="L796" s="246"/>
      <c r="M796" s="246"/>
      <c r="N796" s="246"/>
    </row>
    <row r="797" ht="30.0" customHeight="1">
      <c r="D797" s="246"/>
      <c r="K797" s="246"/>
      <c r="L797" s="246"/>
      <c r="M797" s="246"/>
      <c r="N797" s="246"/>
    </row>
    <row r="798" ht="30.0" customHeight="1">
      <c r="D798" s="246"/>
      <c r="K798" s="246"/>
      <c r="L798" s="246"/>
      <c r="M798" s="246"/>
      <c r="N798" s="246"/>
    </row>
    <row r="799" ht="30.0" customHeight="1">
      <c r="D799" s="246"/>
      <c r="K799" s="246"/>
      <c r="L799" s="246"/>
      <c r="M799" s="246"/>
      <c r="N799" s="246"/>
    </row>
    <row r="800" ht="30.0" customHeight="1">
      <c r="D800" s="246"/>
      <c r="K800" s="246"/>
      <c r="L800" s="246"/>
      <c r="M800" s="246"/>
      <c r="N800" s="246"/>
    </row>
    <row r="801" ht="30.0" customHeight="1">
      <c r="D801" s="246"/>
      <c r="K801" s="246"/>
      <c r="L801" s="246"/>
      <c r="M801" s="246"/>
      <c r="N801" s="246"/>
    </row>
    <row r="802" ht="30.0" customHeight="1">
      <c r="D802" s="246"/>
      <c r="K802" s="246"/>
      <c r="L802" s="246"/>
      <c r="M802" s="246"/>
      <c r="N802" s="246"/>
    </row>
    <row r="803" ht="30.0" customHeight="1">
      <c r="D803" s="246"/>
      <c r="K803" s="246"/>
      <c r="L803" s="246"/>
      <c r="M803" s="246"/>
      <c r="N803" s="246"/>
    </row>
    <row r="804" ht="30.0" customHeight="1">
      <c r="D804" s="246"/>
      <c r="K804" s="246"/>
      <c r="L804" s="246"/>
      <c r="M804" s="246"/>
      <c r="N804" s="246"/>
    </row>
    <row r="805" ht="30.0" customHeight="1">
      <c r="D805" s="246"/>
      <c r="K805" s="246"/>
      <c r="L805" s="246"/>
      <c r="M805" s="246"/>
      <c r="N805" s="246"/>
    </row>
    <row r="806" ht="30.0" customHeight="1">
      <c r="D806" s="246"/>
      <c r="K806" s="246"/>
      <c r="L806" s="246"/>
      <c r="M806" s="246"/>
      <c r="N806" s="246"/>
    </row>
    <row r="807" ht="30.0" customHeight="1">
      <c r="D807" s="246"/>
      <c r="K807" s="246"/>
      <c r="L807" s="246"/>
      <c r="M807" s="246"/>
      <c r="N807" s="246"/>
    </row>
    <row r="808" ht="30.0" customHeight="1">
      <c r="D808" s="246"/>
      <c r="K808" s="246"/>
      <c r="L808" s="246"/>
      <c r="M808" s="246"/>
      <c r="N808" s="246"/>
    </row>
    <row r="809" ht="30.0" customHeight="1">
      <c r="D809" s="246"/>
      <c r="K809" s="246"/>
      <c r="L809" s="246"/>
      <c r="M809" s="246"/>
      <c r="N809" s="246"/>
    </row>
    <row r="810" ht="30.0" customHeight="1">
      <c r="D810" s="246"/>
      <c r="K810" s="246"/>
      <c r="L810" s="246"/>
      <c r="M810" s="246"/>
      <c r="N810" s="246"/>
    </row>
    <row r="811" ht="30.0" customHeight="1">
      <c r="D811" s="246"/>
      <c r="K811" s="246"/>
      <c r="L811" s="246"/>
      <c r="M811" s="246"/>
      <c r="N811" s="246"/>
    </row>
    <row r="812" ht="30.0" customHeight="1">
      <c r="D812" s="246"/>
      <c r="K812" s="246"/>
      <c r="L812" s="246"/>
      <c r="M812" s="246"/>
      <c r="N812" s="246"/>
    </row>
    <row r="813" ht="30.0" customHeight="1">
      <c r="D813" s="246"/>
      <c r="K813" s="246"/>
      <c r="L813" s="246"/>
      <c r="M813" s="246"/>
      <c r="N813" s="246"/>
    </row>
    <row r="814" ht="30.0" customHeight="1">
      <c r="D814" s="246"/>
      <c r="K814" s="246"/>
      <c r="L814" s="246"/>
      <c r="M814" s="246"/>
      <c r="N814" s="246"/>
    </row>
    <row r="815" ht="30.0" customHeight="1">
      <c r="D815" s="246"/>
      <c r="K815" s="246"/>
      <c r="L815" s="246"/>
      <c r="M815" s="246"/>
      <c r="N815" s="246"/>
    </row>
    <row r="816" ht="30.0" customHeight="1">
      <c r="D816" s="246"/>
      <c r="K816" s="246"/>
      <c r="L816" s="246"/>
      <c r="M816" s="246"/>
      <c r="N816" s="246"/>
    </row>
    <row r="817" ht="30.0" customHeight="1">
      <c r="D817" s="246"/>
      <c r="K817" s="246"/>
      <c r="L817" s="246"/>
      <c r="M817" s="246"/>
      <c r="N817" s="246"/>
    </row>
    <row r="818" ht="30.0" customHeight="1">
      <c r="D818" s="246"/>
      <c r="K818" s="246"/>
      <c r="L818" s="246"/>
      <c r="M818" s="246"/>
      <c r="N818" s="246"/>
    </row>
    <row r="819" ht="30.0" customHeight="1">
      <c r="D819" s="246"/>
      <c r="K819" s="246"/>
      <c r="L819" s="246"/>
      <c r="M819" s="246"/>
      <c r="N819" s="246"/>
    </row>
    <row r="820" ht="30.0" customHeight="1">
      <c r="D820" s="246"/>
      <c r="K820" s="246"/>
      <c r="L820" s="246"/>
      <c r="M820" s="246"/>
      <c r="N820" s="246"/>
    </row>
    <row r="821" ht="30.0" customHeight="1">
      <c r="D821" s="246"/>
      <c r="K821" s="246"/>
      <c r="L821" s="246"/>
      <c r="M821" s="246"/>
      <c r="N821" s="246"/>
    </row>
    <row r="822" ht="30.0" customHeight="1">
      <c r="D822" s="246"/>
      <c r="K822" s="246"/>
      <c r="L822" s="246"/>
      <c r="M822" s="246"/>
      <c r="N822" s="246"/>
    </row>
    <row r="823" ht="30.0" customHeight="1">
      <c r="D823" s="246"/>
      <c r="K823" s="246"/>
      <c r="L823" s="246"/>
      <c r="M823" s="246"/>
      <c r="N823" s="246"/>
    </row>
    <row r="824" ht="30.0" customHeight="1">
      <c r="D824" s="246"/>
      <c r="K824" s="246"/>
      <c r="L824" s="246"/>
      <c r="M824" s="246"/>
      <c r="N824" s="246"/>
    </row>
    <row r="825" ht="30.0" customHeight="1">
      <c r="D825" s="246"/>
      <c r="K825" s="246"/>
      <c r="L825" s="246"/>
      <c r="M825" s="246"/>
      <c r="N825" s="246"/>
    </row>
    <row r="826" ht="30.0" customHeight="1">
      <c r="D826" s="246"/>
      <c r="K826" s="246"/>
      <c r="L826" s="246"/>
      <c r="M826" s="246"/>
      <c r="N826" s="246"/>
    </row>
    <row r="827" ht="30.0" customHeight="1">
      <c r="D827" s="246"/>
      <c r="K827" s="246"/>
      <c r="L827" s="246"/>
      <c r="M827" s="246"/>
      <c r="N827" s="246"/>
    </row>
    <row r="828" ht="30.0" customHeight="1">
      <c r="D828" s="246"/>
      <c r="K828" s="246"/>
      <c r="L828" s="246"/>
      <c r="M828" s="246"/>
      <c r="N828" s="246"/>
    </row>
    <row r="829" ht="30.0" customHeight="1">
      <c r="D829" s="246"/>
      <c r="K829" s="246"/>
      <c r="L829" s="246"/>
      <c r="M829" s="246"/>
      <c r="N829" s="246"/>
    </row>
    <row r="830" ht="30.0" customHeight="1">
      <c r="D830" s="246"/>
      <c r="K830" s="246"/>
      <c r="L830" s="246"/>
      <c r="M830" s="246"/>
      <c r="N830" s="246"/>
    </row>
    <row r="831" ht="30.0" customHeight="1">
      <c r="D831" s="246"/>
      <c r="K831" s="246"/>
      <c r="L831" s="246"/>
      <c r="M831" s="246"/>
      <c r="N831" s="246"/>
    </row>
    <row r="832" ht="30.0" customHeight="1">
      <c r="D832" s="246"/>
      <c r="K832" s="246"/>
      <c r="L832" s="246"/>
      <c r="M832" s="246"/>
      <c r="N832" s="246"/>
    </row>
    <row r="833" ht="30.0" customHeight="1">
      <c r="D833" s="246"/>
      <c r="K833" s="246"/>
      <c r="L833" s="246"/>
      <c r="M833" s="246"/>
      <c r="N833" s="246"/>
    </row>
    <row r="834" ht="30.0" customHeight="1">
      <c r="D834" s="246"/>
      <c r="K834" s="246"/>
      <c r="L834" s="246"/>
      <c r="M834" s="246"/>
      <c r="N834" s="246"/>
    </row>
    <row r="835" ht="30.0" customHeight="1">
      <c r="D835" s="246"/>
      <c r="K835" s="246"/>
      <c r="L835" s="246"/>
      <c r="M835" s="246"/>
      <c r="N835" s="246"/>
    </row>
    <row r="836" ht="30.0" customHeight="1">
      <c r="D836" s="246"/>
      <c r="K836" s="246"/>
      <c r="L836" s="246"/>
      <c r="M836" s="246"/>
      <c r="N836" s="246"/>
    </row>
    <row r="837" ht="30.0" customHeight="1">
      <c r="D837" s="246"/>
      <c r="K837" s="246"/>
      <c r="L837" s="246"/>
      <c r="M837" s="246"/>
      <c r="N837" s="246"/>
    </row>
    <row r="838" ht="30.0" customHeight="1">
      <c r="D838" s="246"/>
      <c r="K838" s="246"/>
      <c r="L838" s="246"/>
      <c r="M838" s="246"/>
      <c r="N838" s="246"/>
    </row>
    <row r="839" ht="30.0" customHeight="1">
      <c r="D839" s="246"/>
      <c r="K839" s="246"/>
      <c r="L839" s="246"/>
      <c r="M839" s="246"/>
      <c r="N839" s="246"/>
    </row>
    <row r="840" ht="30.0" customHeight="1">
      <c r="D840" s="246"/>
      <c r="K840" s="246"/>
      <c r="L840" s="246"/>
      <c r="M840" s="246"/>
      <c r="N840" s="246"/>
    </row>
    <row r="841" ht="30.0" customHeight="1">
      <c r="D841" s="246"/>
      <c r="K841" s="246"/>
      <c r="L841" s="246"/>
      <c r="M841" s="246"/>
      <c r="N841" s="246"/>
    </row>
    <row r="842" ht="30.0" customHeight="1">
      <c r="D842" s="246"/>
      <c r="K842" s="246"/>
      <c r="L842" s="246"/>
      <c r="M842" s="246"/>
      <c r="N842" s="246"/>
    </row>
    <row r="843" ht="30.0" customHeight="1">
      <c r="D843" s="246"/>
      <c r="K843" s="246"/>
      <c r="L843" s="246"/>
      <c r="M843" s="246"/>
      <c r="N843" s="246"/>
    </row>
    <row r="844" ht="30.0" customHeight="1">
      <c r="D844" s="246"/>
      <c r="K844" s="246"/>
      <c r="L844" s="246"/>
      <c r="M844" s="246"/>
      <c r="N844" s="246"/>
    </row>
    <row r="845" ht="30.0" customHeight="1">
      <c r="D845" s="246"/>
      <c r="K845" s="246"/>
      <c r="L845" s="246"/>
      <c r="M845" s="246"/>
      <c r="N845" s="246"/>
    </row>
    <row r="846" ht="30.0" customHeight="1">
      <c r="D846" s="246"/>
      <c r="K846" s="246"/>
      <c r="L846" s="246"/>
      <c r="M846" s="246"/>
      <c r="N846" s="246"/>
    </row>
    <row r="847" ht="30.0" customHeight="1">
      <c r="D847" s="246"/>
      <c r="K847" s="246"/>
      <c r="L847" s="246"/>
      <c r="M847" s="246"/>
      <c r="N847" s="246"/>
    </row>
    <row r="848" ht="30.0" customHeight="1">
      <c r="D848" s="246"/>
      <c r="K848" s="246"/>
      <c r="L848" s="246"/>
      <c r="M848" s="246"/>
      <c r="N848" s="246"/>
    </row>
    <row r="849" ht="30.0" customHeight="1">
      <c r="D849" s="246"/>
      <c r="K849" s="246"/>
      <c r="L849" s="246"/>
      <c r="M849" s="246"/>
      <c r="N849" s="246"/>
    </row>
    <row r="850" ht="30.0" customHeight="1">
      <c r="D850" s="246"/>
      <c r="K850" s="246"/>
      <c r="L850" s="246"/>
      <c r="M850" s="246"/>
      <c r="N850" s="246"/>
    </row>
    <row r="851" ht="30.0" customHeight="1">
      <c r="D851" s="246"/>
      <c r="K851" s="246"/>
      <c r="L851" s="246"/>
      <c r="M851" s="246"/>
      <c r="N851" s="246"/>
    </row>
    <row r="852" ht="30.0" customHeight="1">
      <c r="D852" s="246"/>
      <c r="K852" s="246"/>
      <c r="L852" s="246"/>
      <c r="M852" s="246"/>
      <c r="N852" s="246"/>
    </row>
    <row r="853" ht="30.0" customHeight="1">
      <c r="D853" s="246"/>
      <c r="K853" s="246"/>
      <c r="L853" s="246"/>
      <c r="M853" s="246"/>
      <c r="N853" s="246"/>
    </row>
    <row r="854" ht="30.0" customHeight="1">
      <c r="D854" s="246"/>
      <c r="K854" s="246"/>
      <c r="L854" s="246"/>
      <c r="M854" s="246"/>
      <c r="N854" s="246"/>
    </row>
    <row r="855" ht="30.0" customHeight="1">
      <c r="D855" s="246"/>
      <c r="K855" s="246"/>
      <c r="L855" s="246"/>
      <c r="M855" s="246"/>
      <c r="N855" s="246"/>
    </row>
    <row r="856" ht="30.0" customHeight="1">
      <c r="D856" s="246"/>
      <c r="K856" s="246"/>
      <c r="L856" s="246"/>
      <c r="M856" s="246"/>
      <c r="N856" s="246"/>
    </row>
    <row r="857" ht="30.0" customHeight="1">
      <c r="D857" s="246"/>
      <c r="K857" s="246"/>
      <c r="L857" s="246"/>
      <c r="M857" s="246"/>
      <c r="N857" s="246"/>
    </row>
    <row r="858" ht="30.0" customHeight="1">
      <c r="D858" s="246"/>
      <c r="K858" s="246"/>
      <c r="L858" s="246"/>
      <c r="M858" s="246"/>
      <c r="N858" s="246"/>
    </row>
    <row r="859" ht="30.0" customHeight="1">
      <c r="D859" s="246"/>
      <c r="K859" s="246"/>
      <c r="L859" s="246"/>
      <c r="M859" s="246"/>
      <c r="N859" s="246"/>
    </row>
    <row r="860" ht="30.0" customHeight="1">
      <c r="D860" s="246"/>
      <c r="K860" s="246"/>
      <c r="L860" s="246"/>
      <c r="M860" s="246"/>
      <c r="N860" s="246"/>
    </row>
    <row r="861" ht="30.0" customHeight="1">
      <c r="D861" s="246"/>
      <c r="K861" s="246"/>
      <c r="L861" s="246"/>
      <c r="M861" s="246"/>
      <c r="N861" s="246"/>
    </row>
    <row r="862" ht="30.0" customHeight="1">
      <c r="D862" s="246"/>
      <c r="K862" s="246"/>
      <c r="L862" s="246"/>
      <c r="M862" s="246"/>
      <c r="N862" s="246"/>
    </row>
    <row r="863" ht="30.0" customHeight="1">
      <c r="D863" s="246"/>
      <c r="K863" s="246"/>
      <c r="L863" s="246"/>
      <c r="M863" s="246"/>
      <c r="N863" s="246"/>
    </row>
    <row r="864" ht="30.0" customHeight="1">
      <c r="D864" s="246"/>
      <c r="K864" s="246"/>
      <c r="L864" s="246"/>
      <c r="M864" s="246"/>
      <c r="N864" s="246"/>
    </row>
    <row r="865" ht="30.0" customHeight="1">
      <c r="D865" s="246"/>
      <c r="K865" s="246"/>
      <c r="L865" s="246"/>
      <c r="M865" s="246"/>
      <c r="N865" s="246"/>
    </row>
    <row r="866" ht="30.0" customHeight="1">
      <c r="D866" s="246"/>
      <c r="K866" s="246"/>
      <c r="L866" s="246"/>
      <c r="M866" s="246"/>
      <c r="N866" s="246"/>
    </row>
    <row r="867" ht="30.0" customHeight="1">
      <c r="D867" s="246"/>
      <c r="K867" s="246"/>
      <c r="L867" s="246"/>
      <c r="M867" s="246"/>
      <c r="N867" s="246"/>
    </row>
    <row r="868" ht="30.0" customHeight="1">
      <c r="D868" s="246"/>
      <c r="K868" s="246"/>
      <c r="L868" s="246"/>
      <c r="M868" s="246"/>
      <c r="N868" s="246"/>
    </row>
    <row r="869" ht="30.0" customHeight="1">
      <c r="D869" s="246"/>
      <c r="K869" s="246"/>
      <c r="L869" s="246"/>
      <c r="M869" s="246"/>
      <c r="N869" s="246"/>
    </row>
    <row r="870" ht="30.0" customHeight="1">
      <c r="D870" s="246"/>
      <c r="K870" s="246"/>
      <c r="L870" s="246"/>
      <c r="M870" s="246"/>
      <c r="N870" s="246"/>
    </row>
    <row r="871" ht="30.0" customHeight="1">
      <c r="D871" s="246"/>
      <c r="K871" s="246"/>
      <c r="L871" s="246"/>
      <c r="M871" s="246"/>
      <c r="N871" s="246"/>
    </row>
    <row r="872" ht="30.0" customHeight="1">
      <c r="D872" s="246"/>
      <c r="K872" s="246"/>
      <c r="L872" s="246"/>
      <c r="M872" s="246"/>
      <c r="N872" s="246"/>
    </row>
    <row r="873" ht="30.0" customHeight="1">
      <c r="D873" s="246"/>
      <c r="K873" s="246"/>
      <c r="L873" s="246"/>
      <c r="M873" s="246"/>
      <c r="N873" s="246"/>
    </row>
    <row r="874" ht="30.0" customHeight="1">
      <c r="D874" s="246"/>
      <c r="K874" s="246"/>
      <c r="L874" s="246"/>
      <c r="M874" s="246"/>
      <c r="N874" s="246"/>
    </row>
    <row r="875" ht="30.0" customHeight="1">
      <c r="D875" s="246"/>
      <c r="K875" s="246"/>
      <c r="L875" s="246"/>
      <c r="M875" s="246"/>
      <c r="N875" s="246"/>
    </row>
    <row r="876" ht="30.0" customHeight="1">
      <c r="D876" s="246"/>
      <c r="K876" s="246"/>
      <c r="L876" s="246"/>
      <c r="M876" s="246"/>
      <c r="N876" s="246"/>
    </row>
    <row r="877" ht="30.0" customHeight="1">
      <c r="D877" s="246"/>
      <c r="K877" s="246"/>
      <c r="L877" s="246"/>
      <c r="M877" s="246"/>
      <c r="N877" s="246"/>
    </row>
    <row r="878" ht="30.0" customHeight="1">
      <c r="D878" s="246"/>
      <c r="K878" s="246"/>
      <c r="L878" s="246"/>
      <c r="M878" s="246"/>
      <c r="N878" s="246"/>
    </row>
    <row r="879" ht="30.0" customHeight="1">
      <c r="D879" s="246"/>
      <c r="K879" s="246"/>
      <c r="L879" s="246"/>
      <c r="M879" s="246"/>
      <c r="N879" s="246"/>
    </row>
    <row r="880" ht="30.0" customHeight="1">
      <c r="D880" s="246"/>
      <c r="K880" s="246"/>
      <c r="L880" s="246"/>
      <c r="M880" s="246"/>
      <c r="N880" s="246"/>
    </row>
    <row r="881" ht="30.0" customHeight="1">
      <c r="D881" s="246"/>
      <c r="K881" s="246"/>
      <c r="L881" s="246"/>
      <c r="M881" s="246"/>
      <c r="N881" s="246"/>
    </row>
    <row r="882" ht="30.0" customHeight="1">
      <c r="D882" s="246"/>
      <c r="K882" s="246"/>
      <c r="L882" s="246"/>
      <c r="M882" s="246"/>
      <c r="N882" s="246"/>
    </row>
    <row r="883" ht="30.0" customHeight="1">
      <c r="D883" s="246"/>
      <c r="K883" s="246"/>
      <c r="L883" s="246"/>
      <c r="M883" s="246"/>
      <c r="N883" s="246"/>
    </row>
    <row r="884" ht="30.0" customHeight="1">
      <c r="D884" s="246"/>
      <c r="K884" s="246"/>
      <c r="L884" s="246"/>
      <c r="M884" s="246"/>
      <c r="N884" s="246"/>
    </row>
    <row r="885" ht="30.0" customHeight="1">
      <c r="D885" s="246"/>
      <c r="K885" s="246"/>
      <c r="L885" s="246"/>
      <c r="M885" s="246"/>
      <c r="N885" s="246"/>
    </row>
    <row r="886" ht="30.0" customHeight="1">
      <c r="D886" s="246"/>
      <c r="K886" s="246"/>
      <c r="L886" s="246"/>
      <c r="M886" s="246"/>
      <c r="N886" s="246"/>
    </row>
    <row r="887" ht="30.0" customHeight="1">
      <c r="D887" s="246"/>
      <c r="K887" s="246"/>
      <c r="L887" s="246"/>
      <c r="M887" s="246"/>
      <c r="N887" s="246"/>
    </row>
    <row r="888" ht="30.0" customHeight="1">
      <c r="D888" s="246"/>
      <c r="K888" s="246"/>
      <c r="L888" s="246"/>
      <c r="M888" s="246"/>
      <c r="N888" s="246"/>
    </row>
    <row r="889" ht="30.0" customHeight="1">
      <c r="D889" s="246"/>
      <c r="K889" s="246"/>
      <c r="L889" s="246"/>
      <c r="M889" s="246"/>
      <c r="N889" s="246"/>
    </row>
    <row r="890" ht="30.0" customHeight="1">
      <c r="D890" s="246"/>
      <c r="K890" s="246"/>
      <c r="L890" s="246"/>
      <c r="M890" s="246"/>
      <c r="N890" s="246"/>
    </row>
    <row r="891" ht="30.0" customHeight="1">
      <c r="D891" s="246"/>
      <c r="K891" s="246"/>
      <c r="L891" s="246"/>
      <c r="M891" s="246"/>
      <c r="N891" s="246"/>
    </row>
    <row r="892" ht="30.0" customHeight="1">
      <c r="D892" s="246"/>
      <c r="K892" s="246"/>
      <c r="L892" s="246"/>
      <c r="M892" s="246"/>
      <c r="N892" s="246"/>
    </row>
    <row r="893" ht="30.0" customHeight="1">
      <c r="D893" s="246"/>
      <c r="K893" s="246"/>
      <c r="L893" s="246"/>
      <c r="M893" s="246"/>
      <c r="N893" s="246"/>
    </row>
    <row r="894" ht="30.0" customHeight="1">
      <c r="D894" s="246"/>
      <c r="K894" s="246"/>
      <c r="L894" s="246"/>
      <c r="M894" s="246"/>
      <c r="N894" s="246"/>
    </row>
    <row r="895" ht="30.0" customHeight="1">
      <c r="D895" s="246"/>
      <c r="K895" s="246"/>
      <c r="L895" s="246"/>
      <c r="M895" s="246"/>
      <c r="N895" s="246"/>
    </row>
    <row r="896" ht="30.0" customHeight="1">
      <c r="D896" s="246"/>
      <c r="K896" s="246"/>
      <c r="L896" s="246"/>
      <c r="M896" s="246"/>
      <c r="N896" s="246"/>
    </row>
    <row r="897" ht="30.0" customHeight="1">
      <c r="D897" s="246"/>
      <c r="K897" s="246"/>
      <c r="L897" s="246"/>
      <c r="M897" s="246"/>
      <c r="N897" s="246"/>
    </row>
    <row r="898" ht="30.0" customHeight="1">
      <c r="D898" s="246"/>
      <c r="K898" s="246"/>
      <c r="L898" s="246"/>
      <c r="M898" s="246"/>
      <c r="N898" s="246"/>
    </row>
    <row r="899" ht="30.0" customHeight="1">
      <c r="D899" s="246"/>
      <c r="K899" s="246"/>
      <c r="L899" s="246"/>
      <c r="M899" s="246"/>
      <c r="N899" s="246"/>
    </row>
    <row r="900" ht="30.0" customHeight="1">
      <c r="D900" s="246"/>
      <c r="K900" s="246"/>
      <c r="L900" s="246"/>
      <c r="M900" s="246"/>
      <c r="N900" s="246"/>
    </row>
    <row r="901" ht="30.0" customHeight="1">
      <c r="D901" s="246"/>
      <c r="K901" s="246"/>
      <c r="L901" s="246"/>
      <c r="M901" s="246"/>
      <c r="N901" s="246"/>
    </row>
    <row r="902" ht="30.0" customHeight="1">
      <c r="D902" s="246"/>
      <c r="K902" s="246"/>
      <c r="L902" s="246"/>
      <c r="M902" s="246"/>
      <c r="N902" s="246"/>
    </row>
    <row r="903" ht="30.0" customHeight="1">
      <c r="D903" s="246"/>
      <c r="K903" s="246"/>
      <c r="L903" s="246"/>
      <c r="M903" s="246"/>
      <c r="N903" s="246"/>
    </row>
    <row r="904" ht="30.0" customHeight="1">
      <c r="D904" s="246"/>
      <c r="K904" s="246"/>
      <c r="L904" s="246"/>
      <c r="M904" s="246"/>
      <c r="N904" s="246"/>
    </row>
    <row r="905" ht="30.0" customHeight="1">
      <c r="D905" s="246"/>
      <c r="K905" s="246"/>
      <c r="L905" s="246"/>
      <c r="M905" s="246"/>
      <c r="N905" s="246"/>
    </row>
    <row r="906" ht="30.0" customHeight="1">
      <c r="D906" s="246"/>
      <c r="K906" s="246"/>
      <c r="L906" s="246"/>
      <c r="M906" s="246"/>
      <c r="N906" s="246"/>
    </row>
    <row r="907" ht="30.0" customHeight="1">
      <c r="D907" s="246"/>
      <c r="K907" s="246"/>
      <c r="L907" s="246"/>
      <c r="M907" s="246"/>
      <c r="N907" s="246"/>
    </row>
    <row r="908" ht="30.0" customHeight="1">
      <c r="D908" s="246"/>
      <c r="K908" s="246"/>
      <c r="L908" s="246"/>
      <c r="M908" s="246"/>
      <c r="N908" s="246"/>
    </row>
    <row r="909" ht="30.0" customHeight="1">
      <c r="D909" s="246"/>
      <c r="K909" s="246"/>
      <c r="L909" s="246"/>
      <c r="M909" s="246"/>
      <c r="N909" s="246"/>
    </row>
    <row r="910" ht="30.0" customHeight="1">
      <c r="D910" s="246"/>
      <c r="K910" s="246"/>
      <c r="L910" s="246"/>
      <c r="M910" s="246"/>
      <c r="N910" s="246"/>
    </row>
    <row r="911" ht="30.0" customHeight="1">
      <c r="D911" s="246"/>
      <c r="K911" s="246"/>
      <c r="L911" s="246"/>
      <c r="M911" s="246"/>
      <c r="N911" s="246"/>
    </row>
    <row r="912" ht="30.0" customHeight="1">
      <c r="D912" s="246"/>
      <c r="K912" s="246"/>
      <c r="L912" s="246"/>
      <c r="M912" s="246"/>
      <c r="N912" s="246"/>
    </row>
    <row r="913" ht="30.0" customHeight="1">
      <c r="D913" s="246"/>
      <c r="K913" s="246"/>
      <c r="L913" s="246"/>
      <c r="M913" s="246"/>
      <c r="N913" s="246"/>
    </row>
    <row r="914" ht="30.0" customHeight="1">
      <c r="D914" s="246"/>
      <c r="K914" s="246"/>
      <c r="L914" s="246"/>
      <c r="M914" s="246"/>
      <c r="N914" s="246"/>
    </row>
    <row r="915" ht="30.0" customHeight="1">
      <c r="D915" s="246"/>
      <c r="K915" s="246"/>
      <c r="L915" s="246"/>
      <c r="M915" s="246"/>
      <c r="N915" s="246"/>
    </row>
    <row r="916" ht="30.0" customHeight="1">
      <c r="D916" s="246"/>
      <c r="K916" s="246"/>
      <c r="L916" s="246"/>
      <c r="M916" s="246"/>
      <c r="N916" s="246"/>
    </row>
    <row r="917" ht="30.0" customHeight="1">
      <c r="D917" s="246"/>
      <c r="K917" s="246"/>
      <c r="L917" s="246"/>
      <c r="M917" s="246"/>
      <c r="N917" s="246"/>
    </row>
    <row r="918" ht="30.0" customHeight="1">
      <c r="D918" s="246"/>
      <c r="K918" s="246"/>
      <c r="L918" s="246"/>
      <c r="M918" s="246"/>
      <c r="N918" s="246"/>
    </row>
    <row r="919" ht="30.0" customHeight="1">
      <c r="D919" s="246"/>
      <c r="K919" s="246"/>
      <c r="L919" s="246"/>
      <c r="M919" s="246"/>
      <c r="N919" s="246"/>
    </row>
    <row r="920" ht="30.0" customHeight="1">
      <c r="D920" s="246"/>
      <c r="K920" s="246"/>
      <c r="L920" s="246"/>
      <c r="M920" s="246"/>
      <c r="N920" s="246"/>
    </row>
    <row r="921" ht="30.0" customHeight="1">
      <c r="D921" s="246"/>
      <c r="K921" s="246"/>
      <c r="L921" s="246"/>
      <c r="M921" s="246"/>
      <c r="N921" s="246"/>
    </row>
    <row r="922" ht="30.0" customHeight="1">
      <c r="D922" s="246"/>
      <c r="K922" s="246"/>
      <c r="L922" s="246"/>
      <c r="M922" s="246"/>
      <c r="N922" s="246"/>
    </row>
    <row r="923" ht="30.0" customHeight="1">
      <c r="D923" s="246"/>
      <c r="K923" s="246"/>
      <c r="L923" s="246"/>
      <c r="M923" s="246"/>
      <c r="N923" s="246"/>
    </row>
    <row r="924" ht="30.0" customHeight="1">
      <c r="D924" s="246"/>
      <c r="K924" s="246"/>
      <c r="L924" s="246"/>
      <c r="M924" s="246"/>
      <c r="N924" s="246"/>
    </row>
    <row r="925" ht="30.0" customHeight="1">
      <c r="D925" s="246"/>
      <c r="K925" s="246"/>
      <c r="L925" s="246"/>
      <c r="M925" s="246"/>
      <c r="N925" s="246"/>
    </row>
    <row r="926" ht="30.0" customHeight="1">
      <c r="D926" s="246"/>
      <c r="K926" s="246"/>
      <c r="L926" s="246"/>
      <c r="M926" s="246"/>
      <c r="N926" s="246"/>
    </row>
    <row r="927" ht="30.0" customHeight="1">
      <c r="D927" s="246"/>
      <c r="K927" s="246"/>
      <c r="L927" s="246"/>
      <c r="M927" s="246"/>
      <c r="N927" s="246"/>
    </row>
    <row r="928" ht="30.0" customHeight="1">
      <c r="D928" s="246"/>
      <c r="K928" s="246"/>
      <c r="L928" s="246"/>
      <c r="M928" s="246"/>
      <c r="N928" s="246"/>
    </row>
    <row r="929" ht="30.0" customHeight="1">
      <c r="D929" s="246"/>
      <c r="K929" s="246"/>
      <c r="L929" s="246"/>
      <c r="M929" s="246"/>
      <c r="N929" s="246"/>
    </row>
    <row r="930" ht="30.0" customHeight="1">
      <c r="D930" s="246"/>
      <c r="K930" s="246"/>
      <c r="L930" s="246"/>
      <c r="M930" s="246"/>
      <c r="N930" s="246"/>
    </row>
    <row r="931" ht="30.0" customHeight="1">
      <c r="D931" s="246"/>
      <c r="K931" s="246"/>
      <c r="L931" s="246"/>
      <c r="M931" s="246"/>
      <c r="N931" s="246"/>
    </row>
    <row r="932" ht="30.0" customHeight="1">
      <c r="D932" s="246"/>
      <c r="K932" s="246"/>
      <c r="L932" s="246"/>
      <c r="M932" s="246"/>
      <c r="N932" s="246"/>
    </row>
    <row r="933" ht="30.0" customHeight="1">
      <c r="D933" s="246"/>
      <c r="K933" s="246"/>
      <c r="L933" s="246"/>
      <c r="M933" s="246"/>
      <c r="N933" s="246"/>
    </row>
    <row r="934" ht="30.0" customHeight="1">
      <c r="D934" s="246"/>
      <c r="K934" s="246"/>
      <c r="L934" s="246"/>
      <c r="M934" s="246"/>
      <c r="N934" s="246"/>
    </row>
    <row r="935" ht="30.0" customHeight="1">
      <c r="D935" s="246"/>
      <c r="K935" s="246"/>
      <c r="L935" s="246"/>
      <c r="M935" s="246"/>
      <c r="N935" s="246"/>
    </row>
    <row r="936" ht="30.0" customHeight="1">
      <c r="D936" s="246"/>
      <c r="K936" s="246"/>
      <c r="L936" s="246"/>
      <c r="M936" s="246"/>
      <c r="N936" s="246"/>
    </row>
    <row r="937" ht="30.0" customHeight="1">
      <c r="D937" s="246"/>
      <c r="K937" s="246"/>
      <c r="L937" s="246"/>
      <c r="M937" s="246"/>
      <c r="N937" s="246"/>
    </row>
    <row r="938" ht="30.0" customHeight="1">
      <c r="D938" s="246"/>
      <c r="K938" s="246"/>
      <c r="L938" s="246"/>
      <c r="M938" s="246"/>
      <c r="N938" s="246"/>
    </row>
    <row r="939" ht="30.0" customHeight="1">
      <c r="D939" s="246"/>
      <c r="K939" s="246"/>
      <c r="L939" s="246"/>
      <c r="M939" s="246"/>
      <c r="N939" s="246"/>
    </row>
    <row r="940" ht="30.0" customHeight="1">
      <c r="D940" s="246"/>
      <c r="K940" s="246"/>
      <c r="L940" s="246"/>
      <c r="M940" s="246"/>
      <c r="N940" s="246"/>
    </row>
    <row r="941" ht="30.0" customHeight="1">
      <c r="D941" s="246"/>
      <c r="K941" s="246"/>
      <c r="L941" s="246"/>
      <c r="M941" s="246"/>
      <c r="N941" s="246"/>
    </row>
    <row r="942" ht="30.0" customHeight="1">
      <c r="D942" s="246"/>
      <c r="K942" s="246"/>
      <c r="L942" s="246"/>
      <c r="M942" s="246"/>
      <c r="N942" s="246"/>
    </row>
    <row r="943" ht="30.0" customHeight="1">
      <c r="D943" s="246"/>
      <c r="K943" s="246"/>
      <c r="L943" s="246"/>
      <c r="M943" s="246"/>
      <c r="N943" s="246"/>
    </row>
    <row r="944" ht="30.0" customHeight="1">
      <c r="D944" s="246"/>
      <c r="K944" s="246"/>
      <c r="L944" s="246"/>
      <c r="M944" s="246"/>
      <c r="N944" s="246"/>
    </row>
    <row r="945" ht="30.0" customHeight="1">
      <c r="D945" s="246"/>
      <c r="K945" s="246"/>
      <c r="L945" s="246"/>
      <c r="M945" s="246"/>
      <c r="N945" s="246"/>
    </row>
    <row r="946" ht="30.0" customHeight="1">
      <c r="D946" s="246"/>
      <c r="K946" s="246"/>
      <c r="L946" s="246"/>
      <c r="M946" s="246"/>
      <c r="N946" s="246"/>
    </row>
    <row r="947" ht="30.0" customHeight="1">
      <c r="D947" s="246"/>
      <c r="K947" s="246"/>
      <c r="L947" s="246"/>
      <c r="M947" s="246"/>
      <c r="N947" s="246"/>
    </row>
    <row r="948" ht="30.0" customHeight="1">
      <c r="D948" s="246"/>
      <c r="K948" s="246"/>
      <c r="L948" s="246"/>
      <c r="M948" s="246"/>
      <c r="N948" s="246"/>
    </row>
    <row r="949" ht="30.0" customHeight="1">
      <c r="D949" s="246"/>
      <c r="K949" s="246"/>
      <c r="L949" s="246"/>
      <c r="M949" s="246"/>
      <c r="N949" s="246"/>
    </row>
    <row r="950" ht="30.0" customHeight="1">
      <c r="D950" s="246"/>
      <c r="K950" s="246"/>
      <c r="L950" s="246"/>
      <c r="M950" s="246"/>
      <c r="N950" s="246"/>
    </row>
    <row r="951" ht="30.0" customHeight="1">
      <c r="D951" s="246"/>
      <c r="K951" s="246"/>
      <c r="L951" s="246"/>
      <c r="M951" s="246"/>
      <c r="N951" s="246"/>
    </row>
    <row r="952" ht="30.0" customHeight="1">
      <c r="D952" s="246"/>
      <c r="K952" s="246"/>
      <c r="L952" s="246"/>
      <c r="M952" s="246"/>
      <c r="N952" s="246"/>
    </row>
    <row r="953" ht="30.0" customHeight="1">
      <c r="D953" s="246"/>
      <c r="K953" s="246"/>
      <c r="L953" s="246"/>
      <c r="M953" s="246"/>
      <c r="N953" s="246"/>
    </row>
    <row r="954" ht="30.0" customHeight="1">
      <c r="D954" s="246"/>
      <c r="K954" s="246"/>
      <c r="L954" s="246"/>
      <c r="M954" s="246"/>
      <c r="N954" s="246"/>
    </row>
    <row r="955" ht="30.0" customHeight="1">
      <c r="D955" s="246"/>
      <c r="K955" s="246"/>
      <c r="L955" s="246"/>
      <c r="M955" s="246"/>
      <c r="N955" s="246"/>
    </row>
    <row r="956" ht="30.0" customHeight="1">
      <c r="D956" s="246"/>
      <c r="K956" s="246"/>
      <c r="L956" s="246"/>
      <c r="M956" s="246"/>
      <c r="N956" s="246"/>
    </row>
    <row r="957" ht="30.0" customHeight="1">
      <c r="D957" s="246"/>
      <c r="K957" s="246"/>
      <c r="L957" s="246"/>
      <c r="M957" s="246"/>
      <c r="N957" s="246"/>
    </row>
    <row r="958" ht="30.0" customHeight="1">
      <c r="D958" s="246"/>
      <c r="K958" s="246"/>
      <c r="L958" s="246"/>
      <c r="M958" s="246"/>
      <c r="N958" s="246"/>
    </row>
    <row r="959" ht="30.0" customHeight="1">
      <c r="D959" s="246"/>
      <c r="K959" s="246"/>
      <c r="L959" s="246"/>
      <c r="M959" s="246"/>
      <c r="N959" s="246"/>
    </row>
    <row r="960" ht="30.0" customHeight="1">
      <c r="D960" s="246"/>
      <c r="K960" s="246"/>
      <c r="L960" s="246"/>
      <c r="M960" s="246"/>
      <c r="N960" s="246"/>
    </row>
    <row r="961" ht="30.0" customHeight="1">
      <c r="D961" s="246"/>
      <c r="K961" s="246"/>
      <c r="L961" s="246"/>
      <c r="M961" s="246"/>
      <c r="N961" s="246"/>
    </row>
    <row r="962" ht="30.0" customHeight="1">
      <c r="D962" s="246"/>
      <c r="K962" s="246"/>
      <c r="L962" s="246"/>
      <c r="M962" s="246"/>
      <c r="N962" s="246"/>
    </row>
    <row r="963" ht="30.0" customHeight="1">
      <c r="D963" s="246"/>
      <c r="K963" s="246"/>
      <c r="L963" s="246"/>
      <c r="M963" s="246"/>
      <c r="N963" s="246"/>
    </row>
    <row r="964" ht="30.0" customHeight="1">
      <c r="D964" s="246"/>
      <c r="K964" s="246"/>
      <c r="L964" s="246"/>
      <c r="M964" s="246"/>
      <c r="N964" s="246"/>
    </row>
    <row r="965" ht="30.0" customHeight="1">
      <c r="D965" s="246"/>
      <c r="K965" s="246"/>
      <c r="L965" s="246"/>
      <c r="M965" s="246"/>
      <c r="N965" s="246"/>
    </row>
    <row r="966" ht="30.0" customHeight="1">
      <c r="D966" s="246"/>
      <c r="K966" s="246"/>
      <c r="L966" s="246"/>
      <c r="M966" s="246"/>
      <c r="N966" s="246"/>
    </row>
    <row r="967" ht="30.0" customHeight="1">
      <c r="D967" s="246"/>
      <c r="K967" s="246"/>
      <c r="L967" s="246"/>
      <c r="M967" s="246"/>
      <c r="N967" s="246"/>
    </row>
    <row r="968" ht="30.0" customHeight="1">
      <c r="D968" s="246"/>
      <c r="K968" s="246"/>
      <c r="L968" s="246"/>
      <c r="M968" s="246"/>
      <c r="N968" s="246"/>
    </row>
    <row r="969" ht="30.0" customHeight="1">
      <c r="D969" s="246"/>
      <c r="K969" s="246"/>
      <c r="L969" s="246"/>
      <c r="M969" s="246"/>
      <c r="N969" s="246"/>
    </row>
    <row r="970" ht="30.0" customHeight="1">
      <c r="D970" s="246"/>
      <c r="K970" s="246"/>
      <c r="L970" s="246"/>
      <c r="M970" s="246"/>
      <c r="N970" s="246"/>
    </row>
    <row r="971" ht="30.0" customHeight="1">
      <c r="D971" s="246"/>
      <c r="K971" s="246"/>
      <c r="L971" s="246"/>
      <c r="M971" s="246"/>
      <c r="N971" s="246"/>
    </row>
    <row r="972" ht="30.0" customHeight="1">
      <c r="D972" s="246"/>
      <c r="K972" s="246"/>
      <c r="L972" s="246"/>
      <c r="M972" s="246"/>
      <c r="N972" s="246"/>
    </row>
    <row r="973" ht="30.0" customHeight="1">
      <c r="D973" s="246"/>
      <c r="K973" s="246"/>
      <c r="L973" s="246"/>
      <c r="M973" s="246"/>
      <c r="N973" s="246"/>
    </row>
    <row r="974" ht="30.0" customHeight="1">
      <c r="D974" s="246"/>
      <c r="K974" s="246"/>
      <c r="L974" s="246"/>
      <c r="M974" s="246"/>
      <c r="N974" s="246"/>
    </row>
    <row r="975" ht="30.0" customHeight="1">
      <c r="D975" s="246"/>
      <c r="K975" s="246"/>
      <c r="L975" s="246"/>
      <c r="M975" s="246"/>
      <c r="N975" s="246"/>
    </row>
    <row r="976" ht="30.0" customHeight="1">
      <c r="D976" s="246"/>
      <c r="K976" s="246"/>
      <c r="L976" s="246"/>
      <c r="M976" s="246"/>
      <c r="N976" s="246"/>
    </row>
    <row r="977" ht="30.0" customHeight="1">
      <c r="D977" s="246"/>
      <c r="K977" s="246"/>
      <c r="L977" s="246"/>
      <c r="M977" s="246"/>
      <c r="N977" s="246"/>
    </row>
    <row r="978" ht="30.0" customHeight="1">
      <c r="D978" s="246"/>
      <c r="K978" s="246"/>
      <c r="L978" s="246"/>
      <c r="M978" s="246"/>
      <c r="N978" s="246"/>
    </row>
    <row r="979" ht="30.0" customHeight="1">
      <c r="D979" s="246"/>
      <c r="K979" s="246"/>
      <c r="L979" s="246"/>
      <c r="M979" s="246"/>
      <c r="N979" s="246"/>
    </row>
    <row r="980" ht="30.0" customHeight="1">
      <c r="D980" s="246"/>
      <c r="K980" s="246"/>
      <c r="L980" s="246"/>
      <c r="M980" s="246"/>
      <c r="N980" s="246"/>
    </row>
    <row r="981" ht="30.0" customHeight="1">
      <c r="D981" s="246"/>
      <c r="K981" s="246"/>
      <c r="L981" s="246"/>
      <c r="M981" s="246"/>
      <c r="N981" s="246"/>
    </row>
    <row r="982" ht="30.0" customHeight="1">
      <c r="D982" s="246"/>
      <c r="K982" s="246"/>
      <c r="L982" s="246"/>
      <c r="M982" s="246"/>
      <c r="N982" s="246"/>
    </row>
    <row r="983" ht="30.0" customHeight="1">
      <c r="D983" s="246"/>
      <c r="K983" s="246"/>
      <c r="L983" s="246"/>
      <c r="M983" s="246"/>
      <c r="N983" s="246"/>
    </row>
    <row r="984" ht="30.0" customHeight="1">
      <c r="D984" s="246"/>
      <c r="K984" s="246"/>
      <c r="L984" s="246"/>
      <c r="M984" s="246"/>
      <c r="N984" s="246"/>
    </row>
    <row r="985" ht="30.0" customHeight="1">
      <c r="D985" s="246"/>
      <c r="K985" s="246"/>
      <c r="L985" s="246"/>
      <c r="M985" s="246"/>
      <c r="N985" s="246"/>
    </row>
    <row r="986" ht="30.0" customHeight="1">
      <c r="D986" s="246"/>
      <c r="K986" s="246"/>
      <c r="L986" s="246"/>
      <c r="M986" s="246"/>
      <c r="N986" s="246"/>
    </row>
    <row r="987" ht="30.0" customHeight="1">
      <c r="D987" s="246"/>
      <c r="K987" s="246"/>
      <c r="L987" s="246"/>
      <c r="M987" s="246"/>
      <c r="N987" s="246"/>
    </row>
    <row r="988" ht="30.0" customHeight="1">
      <c r="D988" s="246"/>
      <c r="K988" s="246"/>
      <c r="L988" s="246"/>
      <c r="M988" s="246"/>
      <c r="N988" s="246"/>
    </row>
    <row r="989" ht="30.0" customHeight="1">
      <c r="D989" s="246"/>
      <c r="K989" s="246"/>
      <c r="L989" s="246"/>
      <c r="M989" s="246"/>
      <c r="N989" s="246"/>
    </row>
    <row r="990" ht="30.0" customHeight="1">
      <c r="D990" s="246"/>
      <c r="K990" s="246"/>
      <c r="L990" s="246"/>
      <c r="M990" s="246"/>
      <c r="N990" s="246"/>
    </row>
    <row r="991" ht="30.0" customHeight="1">
      <c r="D991" s="246"/>
      <c r="K991" s="246"/>
      <c r="L991" s="246"/>
      <c r="M991" s="246"/>
      <c r="N991" s="246"/>
    </row>
    <row r="992" ht="30.0" customHeight="1">
      <c r="D992" s="246"/>
      <c r="K992" s="246"/>
      <c r="L992" s="246"/>
      <c r="M992" s="246"/>
      <c r="N992" s="246"/>
    </row>
    <row r="993" ht="30.0" customHeight="1">
      <c r="D993" s="246"/>
      <c r="K993" s="246"/>
      <c r="L993" s="246"/>
      <c r="M993" s="246"/>
      <c r="N993" s="246"/>
    </row>
    <row r="994" ht="30.0" customHeight="1">
      <c r="D994" s="246"/>
      <c r="K994" s="246"/>
      <c r="L994" s="246"/>
      <c r="M994" s="246"/>
      <c r="N994" s="246"/>
    </row>
    <row r="995" ht="30.0" customHeight="1">
      <c r="D995" s="246"/>
      <c r="K995" s="246"/>
      <c r="L995" s="246"/>
      <c r="M995" s="246"/>
      <c r="N995" s="246"/>
    </row>
    <row r="996" ht="30.0" customHeight="1">
      <c r="D996" s="246"/>
      <c r="K996" s="246"/>
      <c r="L996" s="246"/>
      <c r="M996" s="246"/>
      <c r="N996" s="246"/>
    </row>
    <row r="997" ht="30.0" customHeight="1">
      <c r="D997" s="246"/>
      <c r="K997" s="246"/>
      <c r="L997" s="246"/>
      <c r="M997" s="246"/>
      <c r="N997" s="246"/>
    </row>
    <row r="998" ht="30.0" customHeight="1">
      <c r="D998" s="246"/>
      <c r="K998" s="246"/>
      <c r="L998" s="246"/>
      <c r="M998" s="246"/>
      <c r="N998" s="246"/>
    </row>
    <row r="999" ht="30.0" customHeight="1">
      <c r="D999" s="246"/>
      <c r="K999" s="246"/>
      <c r="L999" s="246"/>
      <c r="M999" s="246"/>
      <c r="N999" s="246"/>
    </row>
    <row r="1000" ht="30.0" customHeight="1">
      <c r="D1000" s="246"/>
      <c r="K1000" s="246"/>
      <c r="L1000" s="246"/>
      <c r="M1000" s="246"/>
      <c r="N1000" s="246"/>
    </row>
  </sheetData>
  <autoFilter ref="$A$9:$AI$60"/>
  <mergeCells count="161">
    <mergeCell ref="B25:B31"/>
    <mergeCell ref="B32:B34"/>
    <mergeCell ref="B45:B46"/>
    <mergeCell ref="B47:B50"/>
    <mergeCell ref="B51:B55"/>
    <mergeCell ref="B58:B59"/>
    <mergeCell ref="B61:B62"/>
    <mergeCell ref="A10:A44"/>
    <mergeCell ref="A45:A46"/>
    <mergeCell ref="A47:A55"/>
    <mergeCell ref="A56:A59"/>
    <mergeCell ref="K8:L8"/>
    <mergeCell ref="M8:N8"/>
    <mergeCell ref="B10:B12"/>
    <mergeCell ref="B13:B15"/>
    <mergeCell ref="B16:B18"/>
    <mergeCell ref="B19:B24"/>
    <mergeCell ref="K35:L35"/>
    <mergeCell ref="B35:B43"/>
    <mergeCell ref="I35:J35"/>
    <mergeCell ref="K49:L49"/>
    <mergeCell ref="M49:N49"/>
    <mergeCell ref="I51:J51"/>
    <mergeCell ref="K51:L51"/>
    <mergeCell ref="M51:N51"/>
    <mergeCell ref="K52:L52"/>
    <mergeCell ref="M52:N52"/>
    <mergeCell ref="K53:L53"/>
    <mergeCell ref="M53:N53"/>
    <mergeCell ref="K54:L54"/>
    <mergeCell ref="M54:N54"/>
    <mergeCell ref="G55:H55"/>
    <mergeCell ref="K62:L62"/>
    <mergeCell ref="K63:L63"/>
    <mergeCell ref="K55:L55"/>
    <mergeCell ref="M55:N55"/>
    <mergeCell ref="K60:L60"/>
    <mergeCell ref="M60:N60"/>
    <mergeCell ref="K61:L61"/>
    <mergeCell ref="M61:N61"/>
    <mergeCell ref="M62:N62"/>
    <mergeCell ref="M63:N63"/>
    <mergeCell ref="T8:U8"/>
    <mergeCell ref="V8:W8"/>
    <mergeCell ref="AD10:AF10"/>
    <mergeCell ref="AD11:AF11"/>
    <mergeCell ref="AD12:AF12"/>
    <mergeCell ref="AD13:AF13"/>
    <mergeCell ref="AD14:AF14"/>
    <mergeCell ref="P8:Q8"/>
    <mergeCell ref="R8:S8"/>
    <mergeCell ref="P35:Q35"/>
    <mergeCell ref="R35:S35"/>
    <mergeCell ref="T35:U35"/>
    <mergeCell ref="V35:W35"/>
    <mergeCell ref="X35:Y35"/>
    <mergeCell ref="A1:AG1"/>
    <mergeCell ref="A2:AG2"/>
    <mergeCell ref="A3:B7"/>
    <mergeCell ref="C3:AG7"/>
    <mergeCell ref="C8:F8"/>
    <mergeCell ref="G8:H8"/>
    <mergeCell ref="I8:J8"/>
    <mergeCell ref="X8:Y8"/>
    <mergeCell ref="AD15:AF15"/>
    <mergeCell ref="AD16:AF16"/>
    <mergeCell ref="AD17:AF17"/>
    <mergeCell ref="AD18:AF18"/>
    <mergeCell ref="E19:AG19"/>
    <mergeCell ref="AD20:AF20"/>
    <mergeCell ref="AD21:AF21"/>
    <mergeCell ref="AC25:AC26"/>
    <mergeCell ref="AC27:AC28"/>
    <mergeCell ref="AA36:AA42"/>
    <mergeCell ref="AC36:AC42"/>
    <mergeCell ref="AD22:AF22"/>
    <mergeCell ref="AD23:AF23"/>
    <mergeCell ref="AD24:AF24"/>
    <mergeCell ref="AA25:AA26"/>
    <mergeCell ref="AG25:AG26"/>
    <mergeCell ref="AA27:AA28"/>
    <mergeCell ref="AG27:AG28"/>
    <mergeCell ref="AD25:AF28"/>
    <mergeCell ref="AD29:AF29"/>
    <mergeCell ref="AD30:AF30"/>
    <mergeCell ref="AD31:AF31"/>
    <mergeCell ref="AD32:AF32"/>
    <mergeCell ref="AD33:AF33"/>
    <mergeCell ref="AD34:AF34"/>
    <mergeCell ref="AD48:AF48"/>
    <mergeCell ref="AD49:AF49"/>
    <mergeCell ref="AD50:AF50"/>
    <mergeCell ref="AD35:AF35"/>
    <mergeCell ref="AD36:AF42"/>
    <mergeCell ref="AD43:AF43"/>
    <mergeCell ref="AD44:AF44"/>
    <mergeCell ref="AD45:AF45"/>
    <mergeCell ref="AD46:AF46"/>
    <mergeCell ref="AD47:AF47"/>
    <mergeCell ref="T61:U61"/>
    <mergeCell ref="V61:W61"/>
    <mergeCell ref="AD61:AF61"/>
    <mergeCell ref="AD62:AF62"/>
    <mergeCell ref="AD63:AF63"/>
    <mergeCell ref="P61:Q61"/>
    <mergeCell ref="P62:Q62"/>
    <mergeCell ref="R62:S62"/>
    <mergeCell ref="T62:U62"/>
    <mergeCell ref="V62:W62"/>
    <mergeCell ref="X62:Y62"/>
    <mergeCell ref="P63:Q63"/>
    <mergeCell ref="R63:S63"/>
    <mergeCell ref="P60:Q60"/>
    <mergeCell ref="R60:S60"/>
    <mergeCell ref="T60:U60"/>
    <mergeCell ref="V60:W60"/>
    <mergeCell ref="X60:Y60"/>
    <mergeCell ref="R61:S61"/>
    <mergeCell ref="X61:Y61"/>
    <mergeCell ref="T51:U51"/>
    <mergeCell ref="V51:W51"/>
    <mergeCell ref="AD51:AF51"/>
    <mergeCell ref="AD52:AF52"/>
    <mergeCell ref="P49:Q49"/>
    <mergeCell ref="R49:S49"/>
    <mergeCell ref="T49:U49"/>
    <mergeCell ref="V49:W49"/>
    <mergeCell ref="X49:Y49"/>
    <mergeCell ref="R51:S51"/>
    <mergeCell ref="X51:Y51"/>
    <mergeCell ref="V53:W53"/>
    <mergeCell ref="X53:Y53"/>
    <mergeCell ref="AD53:AF53"/>
    <mergeCell ref="AD54:AF54"/>
    <mergeCell ref="P51:Q51"/>
    <mergeCell ref="P52:Q52"/>
    <mergeCell ref="R52:S52"/>
    <mergeCell ref="T52:U52"/>
    <mergeCell ref="V52:W52"/>
    <mergeCell ref="X52:Y52"/>
    <mergeCell ref="P53:Q53"/>
    <mergeCell ref="AD56:AF56"/>
    <mergeCell ref="AD57:AF57"/>
    <mergeCell ref="AC58:AC59"/>
    <mergeCell ref="AD58:AF58"/>
    <mergeCell ref="AD59:AF59"/>
    <mergeCell ref="AD60:AF60"/>
    <mergeCell ref="P55:Q55"/>
    <mergeCell ref="R55:S55"/>
    <mergeCell ref="T55:U55"/>
    <mergeCell ref="V55:W55"/>
    <mergeCell ref="X55:Y55"/>
    <mergeCell ref="AD55:AF55"/>
    <mergeCell ref="G56:X56"/>
    <mergeCell ref="R53:S53"/>
    <mergeCell ref="T53:U53"/>
    <mergeCell ref="P54:Q54"/>
    <mergeCell ref="R54:S54"/>
    <mergeCell ref="T54:U54"/>
    <mergeCell ref="V54:W54"/>
    <mergeCell ref="X54:Y54"/>
  </mergeCells>
  <printOptions/>
  <pageMargins bottom="0.75" footer="0.0" header="0.0" left="0.7" right="0.7" top="0.75"/>
  <pageSetup fitToHeight="0" paperSize="8"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xSplit="2.0" ySplit="9.0" topLeftCell="C10" activePane="bottomRight" state="frozen"/>
      <selection activeCell="C1" sqref="C1" pane="topRight"/>
      <selection activeCell="A10" sqref="A10" pane="bottomLeft"/>
      <selection activeCell="C10" sqref="C10" pane="bottomRight"/>
    </sheetView>
  </sheetViews>
  <sheetFormatPr customHeight="1" defaultColWidth="11.22" defaultRowHeight="15.0"/>
  <cols>
    <col customWidth="1" min="1" max="1" width="6.78"/>
    <col customWidth="1" min="2" max="2" width="11.89"/>
    <col customWidth="1" min="3" max="3" width="2.22"/>
    <col customWidth="1" min="4" max="4" width="43.78"/>
    <col customWidth="1" min="5" max="6" width="4.22"/>
    <col customWidth="1" hidden="1" min="7" max="7" width="28.11"/>
    <col customWidth="1" min="8" max="8" width="10.11"/>
    <col customWidth="1" hidden="1" min="9" max="9" width="21.33"/>
    <col customWidth="1" hidden="1" min="10" max="12" width="15.78"/>
    <col customWidth="1" min="13" max="13" width="30.67"/>
    <col customWidth="1" min="14" max="14" width="15.78"/>
    <col customWidth="1" hidden="1" min="15" max="15" width="15.78"/>
    <col customWidth="1" hidden="1" min="16" max="17" width="15.0"/>
    <col customWidth="1" min="18" max="20" width="15.0"/>
    <col customWidth="1" hidden="1" min="21" max="21" width="15.0"/>
    <col customWidth="1" min="22" max="22" width="17.56"/>
    <col customWidth="1" min="23" max="23" width="23.89"/>
    <col customWidth="1" min="24" max="24" width="10.78"/>
    <col customWidth="1" min="25" max="27" width="6.78"/>
    <col customWidth="1" min="28" max="28" width="13.89"/>
    <col customWidth="1" min="29" max="30" width="6.78"/>
  </cols>
  <sheetData>
    <row r="1" ht="36.75" customHeight="1">
      <c r="A1" s="2" t="s">
        <v>1</v>
      </c>
      <c r="B1" s="4"/>
      <c r="C1" s="4"/>
      <c r="D1" s="4"/>
      <c r="E1" s="4"/>
      <c r="F1" s="4"/>
      <c r="G1" s="4"/>
      <c r="H1" s="4"/>
      <c r="I1" s="4"/>
      <c r="J1" s="4"/>
      <c r="K1" s="4"/>
      <c r="L1" s="4"/>
      <c r="M1" s="4"/>
      <c r="N1" s="4"/>
      <c r="O1" s="4"/>
      <c r="P1" s="4"/>
      <c r="Q1" s="4"/>
      <c r="R1" s="4"/>
      <c r="S1" s="4"/>
      <c r="T1" s="4"/>
      <c r="U1" s="4"/>
      <c r="V1" s="4"/>
      <c r="W1" s="4"/>
      <c r="X1" s="4"/>
      <c r="Y1" s="4"/>
      <c r="Z1" s="4"/>
      <c r="AA1" s="4"/>
      <c r="AB1" s="10"/>
    </row>
    <row r="2" ht="36.75" customHeight="1">
      <c r="A2" s="14" t="s">
        <v>9</v>
      </c>
      <c r="B2" s="4"/>
      <c r="C2" s="4"/>
      <c r="D2" s="4"/>
      <c r="E2" s="4"/>
      <c r="F2" s="4"/>
      <c r="G2" s="4"/>
      <c r="H2" s="4"/>
      <c r="I2" s="4"/>
      <c r="J2" s="4"/>
      <c r="K2" s="4"/>
      <c r="L2" s="4"/>
      <c r="M2" s="4"/>
      <c r="N2" s="4"/>
      <c r="O2" s="4"/>
      <c r="P2" s="4"/>
      <c r="Q2" s="4"/>
      <c r="R2" s="4"/>
      <c r="S2" s="4"/>
      <c r="T2" s="4"/>
      <c r="U2" s="4"/>
      <c r="V2" s="4"/>
      <c r="W2" s="4"/>
      <c r="X2" s="4"/>
      <c r="Y2" s="4"/>
      <c r="Z2" s="4"/>
      <c r="AA2" s="4"/>
      <c r="AB2" s="10"/>
    </row>
    <row r="3" ht="36.75" customHeight="1">
      <c r="A3" s="22" t="s">
        <v>18</v>
      </c>
      <c r="B3" s="24"/>
      <c r="C3" s="27" t="s">
        <v>24</v>
      </c>
      <c r="D3" s="29"/>
      <c r="E3" s="29"/>
      <c r="F3" s="29"/>
      <c r="G3" s="29"/>
      <c r="H3" s="29"/>
      <c r="I3" s="29"/>
      <c r="J3" s="29"/>
      <c r="K3" s="29"/>
      <c r="L3" s="29"/>
      <c r="M3" s="29"/>
      <c r="N3" s="29"/>
      <c r="O3" s="29"/>
      <c r="P3" s="29"/>
      <c r="Q3" s="29"/>
      <c r="R3" s="29"/>
      <c r="S3" s="29"/>
      <c r="T3" s="29"/>
      <c r="U3" s="29"/>
      <c r="V3" s="29"/>
      <c r="W3" s="29"/>
      <c r="X3" s="29"/>
      <c r="Y3" s="29"/>
      <c r="Z3" s="29"/>
      <c r="AA3" s="29"/>
      <c r="AB3" s="24"/>
    </row>
    <row r="4" ht="36.75" customHeight="1">
      <c r="A4" s="33"/>
      <c r="B4" s="34"/>
      <c r="C4" s="33"/>
      <c r="AB4" s="34"/>
    </row>
    <row r="5" ht="36.75" customHeight="1">
      <c r="A5" s="33"/>
      <c r="B5" s="34"/>
      <c r="C5" s="33"/>
      <c r="AB5" s="34"/>
    </row>
    <row r="6" ht="24.0" customHeight="1">
      <c r="A6" s="33"/>
      <c r="B6" s="34"/>
      <c r="C6" s="33"/>
      <c r="AB6" s="34"/>
    </row>
    <row r="7" ht="33.0" customHeight="1">
      <c r="A7" s="35"/>
      <c r="B7" s="36"/>
      <c r="C7" s="35"/>
      <c r="D7" s="37"/>
      <c r="E7" s="37"/>
      <c r="F7" s="37"/>
      <c r="G7" s="37"/>
      <c r="H7" s="37"/>
      <c r="I7" s="37"/>
      <c r="J7" s="37"/>
      <c r="K7" s="37"/>
      <c r="L7" s="37"/>
      <c r="M7" s="37"/>
      <c r="N7" s="37"/>
      <c r="O7" s="37"/>
      <c r="P7" s="37"/>
      <c r="Q7" s="37"/>
      <c r="R7" s="37"/>
      <c r="S7" s="37"/>
      <c r="T7" s="37"/>
      <c r="U7" s="37"/>
      <c r="V7" s="37"/>
      <c r="W7" s="37"/>
      <c r="X7" s="37"/>
      <c r="Y7" s="37"/>
      <c r="Z7" s="37"/>
      <c r="AA7" s="37"/>
      <c r="AB7" s="36"/>
    </row>
    <row r="8" ht="28.5" customHeight="1">
      <c r="A8" s="39" t="s">
        <v>50</v>
      </c>
      <c r="B8" s="39" t="s">
        <v>52</v>
      </c>
      <c r="C8" s="38" t="s">
        <v>53</v>
      </c>
      <c r="D8" s="40"/>
      <c r="E8" s="40"/>
      <c r="F8" s="40"/>
      <c r="G8" s="41"/>
      <c r="H8" s="44" t="s">
        <v>58</v>
      </c>
      <c r="I8" s="44" t="s">
        <v>60</v>
      </c>
      <c r="J8" s="44" t="s">
        <v>62</v>
      </c>
      <c r="K8" s="44" t="s">
        <v>63</v>
      </c>
      <c r="L8" s="46" t="s">
        <v>65</v>
      </c>
      <c r="M8" s="46" t="s">
        <v>67</v>
      </c>
      <c r="N8" s="47" t="s">
        <v>69</v>
      </c>
      <c r="O8" s="44" t="s">
        <v>72</v>
      </c>
      <c r="P8" s="44" t="s">
        <v>75</v>
      </c>
      <c r="Q8" s="44" t="s">
        <v>77</v>
      </c>
      <c r="R8" s="44" t="s">
        <v>81</v>
      </c>
      <c r="S8" s="44" t="s">
        <v>82</v>
      </c>
      <c r="T8" s="44" t="s">
        <v>88</v>
      </c>
      <c r="U8" s="53" t="s">
        <v>73</v>
      </c>
      <c r="V8" s="39" t="s">
        <v>74</v>
      </c>
      <c r="W8" s="55" t="s">
        <v>96</v>
      </c>
      <c r="X8" s="39" t="s">
        <v>78</v>
      </c>
      <c r="Y8" s="58" t="s">
        <v>101</v>
      </c>
      <c r="Z8" s="29"/>
      <c r="AA8" s="24"/>
      <c r="AB8" s="44" t="s">
        <v>102</v>
      </c>
    </row>
    <row r="9" ht="28.5" customHeight="1">
      <c r="A9" s="21"/>
      <c r="B9" s="21"/>
      <c r="C9" s="50"/>
      <c r="D9" s="60" t="s">
        <v>3</v>
      </c>
      <c r="E9" s="8" t="s">
        <v>83</v>
      </c>
      <c r="F9" s="8" t="s">
        <v>105</v>
      </c>
      <c r="G9" s="8" t="s">
        <v>84</v>
      </c>
      <c r="H9" s="21"/>
      <c r="I9" s="21"/>
      <c r="J9" s="21"/>
      <c r="K9" s="21"/>
      <c r="L9" s="21"/>
      <c r="M9" s="21"/>
      <c r="N9" s="21"/>
      <c r="O9" s="21"/>
      <c r="P9" s="21"/>
      <c r="Q9" s="21"/>
      <c r="R9" s="21"/>
      <c r="S9" s="21"/>
      <c r="T9" s="21"/>
      <c r="U9" s="21"/>
      <c r="V9" s="21"/>
      <c r="W9" s="21"/>
      <c r="X9" s="21"/>
      <c r="Y9" s="35"/>
      <c r="Z9" s="37"/>
      <c r="AA9" s="36"/>
      <c r="AB9" s="21"/>
    </row>
    <row r="10" ht="36.75" customHeight="1">
      <c r="A10" s="3" t="s">
        <v>2</v>
      </c>
      <c r="B10" s="26" t="s">
        <v>103</v>
      </c>
      <c r="C10" s="68">
        <v>1.0</v>
      </c>
      <c r="D10" s="70" t="s">
        <v>115</v>
      </c>
      <c r="E10" s="62" t="s">
        <v>106</v>
      </c>
      <c r="F10" s="59" t="s">
        <v>116</v>
      </c>
      <c r="G10" s="71"/>
      <c r="H10" s="73" t="s">
        <v>117</v>
      </c>
      <c r="I10" s="17">
        <v>0.5547</v>
      </c>
      <c r="J10" s="17">
        <v>0.6747</v>
      </c>
      <c r="K10" s="74">
        <v>0.727</v>
      </c>
      <c r="L10" s="75">
        <v>0.738</v>
      </c>
      <c r="M10" s="77" t="s">
        <v>118</v>
      </c>
      <c r="N10" s="78"/>
      <c r="O10" s="79" t="s">
        <v>123</v>
      </c>
      <c r="P10" s="81">
        <v>0.68</v>
      </c>
      <c r="Q10" s="81">
        <v>0.685</v>
      </c>
      <c r="R10" s="81">
        <v>0.7</v>
      </c>
      <c r="S10" s="81">
        <v>0.71</v>
      </c>
      <c r="T10" s="81">
        <v>0.72</v>
      </c>
      <c r="U10" s="83"/>
      <c r="V10" s="84"/>
      <c r="W10" s="84"/>
      <c r="X10" s="59" t="s">
        <v>125</v>
      </c>
      <c r="Y10" s="86" t="s">
        <v>128</v>
      </c>
      <c r="Z10" s="4"/>
      <c r="AA10" s="10"/>
      <c r="AB10" s="88"/>
    </row>
    <row r="11" ht="36.75" customHeight="1">
      <c r="A11" s="9"/>
      <c r="B11" s="9"/>
      <c r="C11" s="68">
        <v>2.0</v>
      </c>
      <c r="D11" s="70" t="s">
        <v>134</v>
      </c>
      <c r="E11" s="62" t="s">
        <v>106</v>
      </c>
      <c r="F11" s="59" t="s">
        <v>135</v>
      </c>
      <c r="G11" s="71"/>
      <c r="H11" s="73" t="s">
        <v>117</v>
      </c>
      <c r="I11" s="68">
        <v>150.0</v>
      </c>
      <c r="J11" s="68">
        <v>156.0</v>
      </c>
      <c r="K11" s="91" t="s">
        <v>139</v>
      </c>
      <c r="L11" s="92" t="s">
        <v>144</v>
      </c>
      <c r="M11" s="93" t="s">
        <v>146</v>
      </c>
      <c r="N11" s="94"/>
      <c r="O11" s="79" t="s">
        <v>123</v>
      </c>
      <c r="P11" s="68">
        <v>160.0</v>
      </c>
      <c r="Q11" s="63" t="s">
        <v>149</v>
      </c>
      <c r="R11" s="63">
        <v>140.0</v>
      </c>
      <c r="S11" s="63">
        <v>140.0</v>
      </c>
      <c r="T11" s="63">
        <v>140.0</v>
      </c>
      <c r="U11" s="76"/>
      <c r="V11" s="84" t="s">
        <v>150</v>
      </c>
      <c r="W11" s="84" t="s">
        <v>151</v>
      </c>
      <c r="X11" s="59" t="s">
        <v>152</v>
      </c>
      <c r="Y11" s="14"/>
      <c r="Z11" s="4"/>
      <c r="AA11" s="10"/>
      <c r="AB11" s="97"/>
    </row>
    <row r="12" ht="36.75" customHeight="1">
      <c r="A12" s="9"/>
      <c r="B12" s="21"/>
      <c r="C12" s="68">
        <v>3.0</v>
      </c>
      <c r="D12" s="99" t="s">
        <v>160</v>
      </c>
      <c r="E12" s="62" t="s">
        <v>106</v>
      </c>
      <c r="F12" s="59" t="s">
        <v>116</v>
      </c>
      <c r="G12" s="101" t="s">
        <v>161</v>
      </c>
      <c r="H12" s="73" t="s">
        <v>117</v>
      </c>
      <c r="I12" s="17">
        <v>0.9078</v>
      </c>
      <c r="J12" s="17" t="s">
        <v>162</v>
      </c>
      <c r="K12" s="103" t="s">
        <v>163</v>
      </c>
      <c r="L12" s="77" t="s">
        <v>164</v>
      </c>
      <c r="M12" s="77">
        <v>0.9466</v>
      </c>
      <c r="N12" s="104"/>
      <c r="O12" s="79" t="s">
        <v>123</v>
      </c>
      <c r="P12" s="17">
        <v>0.9</v>
      </c>
      <c r="Q12" s="17">
        <v>0.905</v>
      </c>
      <c r="R12" s="17">
        <v>0.91</v>
      </c>
      <c r="S12" s="17">
        <v>0.915</v>
      </c>
      <c r="T12" s="17">
        <v>0.92</v>
      </c>
      <c r="U12" s="106"/>
      <c r="V12" s="107" t="s">
        <v>166</v>
      </c>
      <c r="W12" s="107" t="s">
        <v>166</v>
      </c>
      <c r="X12" s="59" t="s">
        <v>167</v>
      </c>
      <c r="Y12" s="30" t="s">
        <v>168</v>
      </c>
      <c r="Z12" s="29"/>
      <c r="AA12" s="24"/>
      <c r="AB12" s="11"/>
    </row>
    <row r="13" ht="36.75" customHeight="1">
      <c r="A13" s="9"/>
      <c r="B13" s="26" t="s">
        <v>169</v>
      </c>
      <c r="C13" s="68">
        <v>1.0</v>
      </c>
      <c r="D13" s="70" t="s">
        <v>171</v>
      </c>
      <c r="E13" s="110" t="s">
        <v>106</v>
      </c>
      <c r="F13" s="59" t="s">
        <v>173</v>
      </c>
      <c r="G13" s="71"/>
      <c r="H13" s="73" t="s">
        <v>117</v>
      </c>
      <c r="I13" s="111">
        <v>2279.0</v>
      </c>
      <c r="J13" s="111">
        <v>2248.0</v>
      </c>
      <c r="K13" s="111">
        <v>2248.0</v>
      </c>
      <c r="L13" s="112">
        <v>2159.0</v>
      </c>
      <c r="M13" s="114" t="s">
        <v>180</v>
      </c>
      <c r="N13" s="115"/>
      <c r="O13" s="79" t="s">
        <v>123</v>
      </c>
      <c r="P13" s="111">
        <v>2260.0</v>
      </c>
      <c r="Q13" s="111">
        <v>2270.0</v>
      </c>
      <c r="R13" s="111">
        <v>2280.0</v>
      </c>
      <c r="S13" s="111">
        <v>2290.0</v>
      </c>
      <c r="T13" s="111">
        <v>2300.0</v>
      </c>
      <c r="U13" s="116"/>
      <c r="V13" s="84" t="s">
        <v>181</v>
      </c>
      <c r="W13" s="84" t="s">
        <v>182</v>
      </c>
      <c r="X13" s="59" t="s">
        <v>183</v>
      </c>
      <c r="Y13" s="86" t="s">
        <v>185</v>
      </c>
      <c r="Z13" s="4"/>
      <c r="AA13" s="10"/>
      <c r="AB13" s="118"/>
    </row>
    <row r="14" ht="36.75" customHeight="1">
      <c r="A14" s="9"/>
      <c r="B14" s="9"/>
      <c r="C14" s="68">
        <v>2.0</v>
      </c>
      <c r="D14" s="70" t="s">
        <v>189</v>
      </c>
      <c r="E14" s="62" t="s">
        <v>106</v>
      </c>
      <c r="F14" s="59" t="s">
        <v>193</v>
      </c>
      <c r="G14" s="71"/>
      <c r="H14" s="73" t="s">
        <v>117</v>
      </c>
      <c r="I14" s="59" t="s">
        <v>196</v>
      </c>
      <c r="J14" s="59" t="s">
        <v>198</v>
      </c>
      <c r="K14" s="111" t="s">
        <v>199</v>
      </c>
      <c r="L14" s="77" t="s">
        <v>200</v>
      </c>
      <c r="M14" s="120" t="s">
        <v>202</v>
      </c>
      <c r="N14" s="121"/>
      <c r="O14" s="79" t="s">
        <v>123</v>
      </c>
      <c r="P14" s="59" t="s">
        <v>199</v>
      </c>
      <c r="Q14" s="17" t="s">
        <v>203</v>
      </c>
      <c r="R14" s="17" t="s">
        <v>204</v>
      </c>
      <c r="S14" s="17" t="s">
        <v>205</v>
      </c>
      <c r="T14" s="17" t="s">
        <v>206</v>
      </c>
      <c r="U14" s="122"/>
      <c r="V14" s="84" t="s">
        <v>207</v>
      </c>
      <c r="W14" s="123" t="s">
        <v>208</v>
      </c>
      <c r="X14" s="59" t="s">
        <v>209</v>
      </c>
      <c r="Y14" s="14"/>
      <c r="Z14" s="4"/>
      <c r="AA14" s="10"/>
      <c r="AB14" s="118"/>
    </row>
    <row r="15" ht="36.75" customHeight="1">
      <c r="A15" s="9"/>
      <c r="B15" s="26" t="s">
        <v>210</v>
      </c>
      <c r="C15" s="68">
        <v>1.0</v>
      </c>
      <c r="D15" s="70" t="s">
        <v>211</v>
      </c>
      <c r="E15" s="62" t="s">
        <v>106</v>
      </c>
      <c r="F15" s="59" t="s">
        <v>135</v>
      </c>
      <c r="G15" s="126"/>
      <c r="H15" s="73" t="s">
        <v>117</v>
      </c>
      <c r="I15" s="127">
        <v>79.0</v>
      </c>
      <c r="J15" s="127">
        <v>21.0</v>
      </c>
      <c r="K15" s="63" t="s">
        <v>214</v>
      </c>
      <c r="L15" s="77" t="s">
        <v>215</v>
      </c>
      <c r="M15" s="120" t="s">
        <v>216</v>
      </c>
      <c r="N15" s="128"/>
      <c r="O15" s="79" t="s">
        <v>123</v>
      </c>
      <c r="P15" s="126">
        <v>25.0</v>
      </c>
      <c r="Q15" s="111">
        <v>35.0</v>
      </c>
      <c r="R15" s="111">
        <v>38.0</v>
      </c>
      <c r="S15" s="111">
        <v>41.0</v>
      </c>
      <c r="T15" s="111">
        <v>45.0</v>
      </c>
      <c r="U15" s="116"/>
      <c r="V15" s="129" t="s">
        <v>224</v>
      </c>
      <c r="W15" s="129"/>
      <c r="X15" s="130" t="s">
        <v>183</v>
      </c>
      <c r="Y15" s="132" t="s">
        <v>225</v>
      </c>
      <c r="Z15" s="4"/>
      <c r="AA15" s="10"/>
      <c r="AB15" s="133"/>
    </row>
    <row r="16" ht="36.75" customHeight="1">
      <c r="A16" s="9"/>
      <c r="B16" s="9"/>
      <c r="C16" s="68">
        <v>2.0</v>
      </c>
      <c r="D16" s="70" t="s">
        <v>226</v>
      </c>
      <c r="E16" s="135" t="s">
        <v>106</v>
      </c>
      <c r="F16" s="91" t="s">
        <v>135</v>
      </c>
      <c r="G16" s="137"/>
      <c r="H16" s="73" t="s">
        <v>117</v>
      </c>
      <c r="I16" s="68">
        <v>20.0</v>
      </c>
      <c r="J16" s="68">
        <v>19.0</v>
      </c>
      <c r="K16" s="63" t="s">
        <v>235</v>
      </c>
      <c r="L16" s="92" t="s">
        <v>237</v>
      </c>
      <c r="M16" s="139" t="s">
        <v>238</v>
      </c>
      <c r="N16" s="141"/>
      <c r="O16" s="79" t="s">
        <v>123</v>
      </c>
      <c r="P16" s="142">
        <v>22.0</v>
      </c>
      <c r="Q16" s="111">
        <v>30.0</v>
      </c>
      <c r="R16" s="111">
        <v>35.0</v>
      </c>
      <c r="S16" s="111">
        <v>40.0</v>
      </c>
      <c r="T16" s="111">
        <v>43.0</v>
      </c>
      <c r="U16" s="116"/>
      <c r="V16" s="144" t="s">
        <v>243</v>
      </c>
      <c r="W16" s="145"/>
      <c r="X16" s="147" t="s">
        <v>183</v>
      </c>
      <c r="Y16" s="148" t="s">
        <v>251</v>
      </c>
      <c r="Z16" s="4"/>
      <c r="AA16" s="10"/>
      <c r="AB16" s="144"/>
    </row>
    <row r="17" ht="36.75" customHeight="1">
      <c r="A17" s="9"/>
      <c r="B17" s="26" t="s">
        <v>255</v>
      </c>
      <c r="C17" s="68">
        <v>1.0</v>
      </c>
      <c r="D17" s="70" t="s">
        <v>256</v>
      </c>
      <c r="E17" s="62" t="s">
        <v>106</v>
      </c>
      <c r="F17" s="59" t="s">
        <v>193</v>
      </c>
      <c r="G17" s="68"/>
      <c r="H17" s="73" t="s">
        <v>117</v>
      </c>
      <c r="I17" s="68">
        <v>0.0</v>
      </c>
      <c r="J17" s="68">
        <v>0.0</v>
      </c>
      <c r="K17" s="111">
        <v>16.0</v>
      </c>
      <c r="L17" s="149">
        <v>0.0</v>
      </c>
      <c r="M17" s="93">
        <v>61.0</v>
      </c>
      <c r="N17" s="121"/>
      <c r="O17" s="79" t="s">
        <v>123</v>
      </c>
      <c r="P17" s="126">
        <v>10.0</v>
      </c>
      <c r="Q17" s="111">
        <v>50.0</v>
      </c>
      <c r="R17" s="111">
        <v>60.0</v>
      </c>
      <c r="S17" s="111">
        <v>70.0</v>
      </c>
      <c r="T17" s="111">
        <v>80.0</v>
      </c>
      <c r="U17" s="116"/>
      <c r="V17" s="59" t="s">
        <v>265</v>
      </c>
      <c r="W17" s="68"/>
      <c r="X17" s="59" t="s">
        <v>266</v>
      </c>
      <c r="Y17" s="14"/>
      <c r="Z17" s="4"/>
      <c r="AA17" s="10"/>
      <c r="AB17" s="68"/>
    </row>
    <row r="18" ht="90.0" customHeight="1">
      <c r="A18" s="9"/>
      <c r="B18" s="26" t="s">
        <v>268</v>
      </c>
      <c r="C18" s="68">
        <v>1.0</v>
      </c>
      <c r="D18" s="150" t="s">
        <v>269</v>
      </c>
      <c r="E18" s="62" t="s">
        <v>106</v>
      </c>
      <c r="F18" s="59" t="s">
        <v>173</v>
      </c>
      <c r="G18" s="68"/>
      <c r="H18" s="73" t="s">
        <v>117</v>
      </c>
      <c r="I18" s="68">
        <v>396.0</v>
      </c>
      <c r="J18" s="68">
        <v>335.0</v>
      </c>
      <c r="K18" s="63" t="s">
        <v>272</v>
      </c>
      <c r="L18" s="92" t="s">
        <v>273</v>
      </c>
      <c r="M18" s="139" t="s">
        <v>275</v>
      </c>
      <c r="N18" s="78"/>
      <c r="O18" s="79" t="s">
        <v>123</v>
      </c>
      <c r="P18" s="68">
        <v>350.0</v>
      </c>
      <c r="Q18" s="111">
        <v>400.0</v>
      </c>
      <c r="R18" s="138" t="s">
        <v>276</v>
      </c>
      <c r="S18" s="138" t="s">
        <v>277</v>
      </c>
      <c r="T18" s="138" t="s">
        <v>278</v>
      </c>
      <c r="U18" s="116"/>
      <c r="V18" s="59" t="s">
        <v>279</v>
      </c>
      <c r="W18" s="68"/>
      <c r="X18" s="59" t="s">
        <v>266</v>
      </c>
      <c r="Y18" s="14"/>
      <c r="Z18" s="4"/>
      <c r="AA18" s="10"/>
      <c r="AB18" s="68"/>
    </row>
    <row r="19" ht="36.75" customHeight="1">
      <c r="A19" s="152"/>
      <c r="B19" s="26" t="s">
        <v>280</v>
      </c>
      <c r="C19" s="68">
        <v>1.0</v>
      </c>
      <c r="D19" s="70" t="s">
        <v>281</v>
      </c>
      <c r="E19" s="62" t="s">
        <v>106</v>
      </c>
      <c r="F19" s="59" t="s">
        <v>173</v>
      </c>
      <c r="G19" s="68"/>
      <c r="H19" s="73" t="s">
        <v>117</v>
      </c>
      <c r="I19" s="111">
        <v>1225.0</v>
      </c>
      <c r="J19" s="68">
        <v>814.0</v>
      </c>
      <c r="K19" s="111">
        <v>964.0</v>
      </c>
      <c r="L19" s="153">
        <v>705.0</v>
      </c>
      <c r="M19" s="93" t="s">
        <v>283</v>
      </c>
      <c r="N19" s="78"/>
      <c r="O19" s="79" t="s">
        <v>123</v>
      </c>
      <c r="P19" s="68">
        <v>820.0</v>
      </c>
      <c r="Q19" s="111">
        <v>850.0</v>
      </c>
      <c r="R19" s="138" t="s">
        <v>285</v>
      </c>
      <c r="S19" s="138" t="s">
        <v>287</v>
      </c>
      <c r="T19" s="138" t="s">
        <v>288</v>
      </c>
      <c r="U19" s="76" t="s">
        <v>290</v>
      </c>
      <c r="V19" s="68"/>
      <c r="W19" s="68"/>
      <c r="X19" s="59" t="s">
        <v>152</v>
      </c>
      <c r="Y19" s="14"/>
      <c r="Z19" s="4"/>
      <c r="AA19" s="10"/>
      <c r="AB19" s="59"/>
    </row>
    <row r="20" ht="36.75" customHeight="1">
      <c r="A20" s="20" t="s">
        <v>15</v>
      </c>
      <c r="B20" s="26" t="s">
        <v>302</v>
      </c>
      <c r="C20" s="68">
        <v>1.0</v>
      </c>
      <c r="D20" s="70" t="s">
        <v>307</v>
      </c>
      <c r="E20" s="62" t="s">
        <v>106</v>
      </c>
      <c r="F20" s="59" t="s">
        <v>309</v>
      </c>
      <c r="G20" s="68"/>
      <c r="H20" s="73" t="s">
        <v>117</v>
      </c>
      <c r="I20" s="59" t="s">
        <v>310</v>
      </c>
      <c r="J20" s="59" t="s">
        <v>311</v>
      </c>
      <c r="K20" s="63" t="s">
        <v>312</v>
      </c>
      <c r="L20" s="155" t="s">
        <v>313</v>
      </c>
      <c r="M20" s="155" t="s">
        <v>315</v>
      </c>
      <c r="N20" s="128"/>
      <c r="O20" s="79" t="s">
        <v>123</v>
      </c>
      <c r="P20" s="147" t="s">
        <v>320</v>
      </c>
      <c r="Q20" s="63" t="s">
        <v>324</v>
      </c>
      <c r="R20" s="63" t="s">
        <v>326</v>
      </c>
      <c r="S20" s="63" t="s">
        <v>328</v>
      </c>
      <c r="T20" s="63" t="s">
        <v>329</v>
      </c>
      <c r="U20" s="76"/>
      <c r="V20" s="59" t="s">
        <v>332</v>
      </c>
      <c r="W20" s="142"/>
      <c r="X20" s="59" t="s">
        <v>336</v>
      </c>
      <c r="Y20" s="156"/>
      <c r="Z20" s="4"/>
      <c r="AA20" s="10"/>
      <c r="AB20" s="142"/>
    </row>
    <row r="21" ht="36.75" customHeight="1">
      <c r="A21" s="21"/>
      <c r="B21" s="21"/>
      <c r="C21" s="68">
        <v>2.0</v>
      </c>
      <c r="D21" s="150" t="s">
        <v>341</v>
      </c>
      <c r="E21" s="62" t="s">
        <v>106</v>
      </c>
      <c r="F21" s="59" t="s">
        <v>173</v>
      </c>
      <c r="G21" s="28"/>
      <c r="H21" s="73" t="s">
        <v>117</v>
      </c>
      <c r="I21" s="26" t="s">
        <v>342</v>
      </c>
      <c r="J21" s="26" t="s">
        <v>343</v>
      </c>
      <c r="K21" s="63" t="s">
        <v>345</v>
      </c>
      <c r="L21" s="157" t="s">
        <v>347</v>
      </c>
      <c r="M21" s="155" t="s">
        <v>354</v>
      </c>
      <c r="N21" s="45"/>
      <c r="O21" s="79" t="s">
        <v>123</v>
      </c>
      <c r="P21" s="159" t="s">
        <v>355</v>
      </c>
      <c r="Q21" s="160" t="s">
        <v>356</v>
      </c>
      <c r="R21" s="160" t="s">
        <v>358</v>
      </c>
      <c r="S21" s="160" t="s">
        <v>359</v>
      </c>
      <c r="T21" s="160" t="s">
        <v>360</v>
      </c>
      <c r="U21" s="48"/>
      <c r="V21" s="59" t="s">
        <v>361</v>
      </c>
      <c r="W21" s="147" t="s">
        <v>362</v>
      </c>
      <c r="X21" s="59" t="s">
        <v>361</v>
      </c>
      <c r="Y21" s="161"/>
      <c r="Z21" s="40"/>
      <c r="AA21" s="41"/>
      <c r="AB21" s="159"/>
    </row>
    <row r="22" ht="36.75" customHeight="1">
      <c r="A22" s="20" t="s">
        <v>21</v>
      </c>
      <c r="B22" s="26" t="s">
        <v>369</v>
      </c>
      <c r="C22" s="68">
        <v>1.0</v>
      </c>
      <c r="D22" s="70" t="s">
        <v>371</v>
      </c>
      <c r="E22" s="62" t="s">
        <v>106</v>
      </c>
      <c r="F22" s="59" t="s">
        <v>173</v>
      </c>
      <c r="G22" s="28"/>
      <c r="H22" s="73" t="s">
        <v>117</v>
      </c>
      <c r="I22" s="68">
        <v>229.0</v>
      </c>
      <c r="J22" s="68">
        <v>175.0</v>
      </c>
      <c r="K22" s="111">
        <v>341.0</v>
      </c>
      <c r="L22" s="92" t="s">
        <v>375</v>
      </c>
      <c r="M22" s="164">
        <v>271.0</v>
      </c>
      <c r="N22" s="78"/>
      <c r="O22" s="79" t="s">
        <v>123</v>
      </c>
      <c r="P22" s="68">
        <v>185.0</v>
      </c>
      <c r="Q22" s="68">
        <v>195.0</v>
      </c>
      <c r="R22" s="68">
        <v>215.0</v>
      </c>
      <c r="S22" s="68">
        <v>225.0</v>
      </c>
      <c r="T22" s="68">
        <v>235.0</v>
      </c>
      <c r="U22" s="125"/>
      <c r="V22" s="59" t="s">
        <v>379</v>
      </c>
      <c r="W22" s="59" t="s">
        <v>381</v>
      </c>
      <c r="X22" s="68" t="s">
        <v>187</v>
      </c>
      <c r="Y22" s="165"/>
      <c r="Z22" s="29"/>
      <c r="AA22" s="24"/>
      <c r="AB22" s="28"/>
    </row>
    <row r="23" ht="36.75" customHeight="1">
      <c r="A23" s="9"/>
      <c r="B23" s="26" t="s">
        <v>385</v>
      </c>
      <c r="C23" s="68">
        <v>1.0</v>
      </c>
      <c r="D23" s="70" t="s">
        <v>387</v>
      </c>
      <c r="E23" s="62" t="s">
        <v>106</v>
      </c>
      <c r="F23" s="59" t="s">
        <v>388</v>
      </c>
      <c r="G23" s="28"/>
      <c r="H23" s="73" t="s">
        <v>117</v>
      </c>
      <c r="I23" s="127">
        <v>33.0</v>
      </c>
      <c r="J23" s="127">
        <v>29.0</v>
      </c>
      <c r="K23" s="111">
        <v>83.0</v>
      </c>
      <c r="L23" s="167">
        <v>131.0</v>
      </c>
      <c r="M23" s="168">
        <v>121.0</v>
      </c>
      <c r="N23" s="170"/>
      <c r="O23" s="79" t="s">
        <v>123</v>
      </c>
      <c r="P23" s="59">
        <v>30.0</v>
      </c>
      <c r="Q23" s="59">
        <v>40.0</v>
      </c>
      <c r="R23" s="59">
        <v>60.0</v>
      </c>
      <c r="S23" s="59">
        <v>80.0</v>
      </c>
      <c r="T23" s="59">
        <v>100.0</v>
      </c>
      <c r="U23" s="140"/>
      <c r="V23" s="171" t="s">
        <v>397</v>
      </c>
      <c r="W23" s="59" t="s">
        <v>401</v>
      </c>
      <c r="X23" s="68" t="s">
        <v>187</v>
      </c>
      <c r="Y23" s="165"/>
      <c r="Z23" s="29"/>
      <c r="AA23" s="24"/>
      <c r="AB23" s="28"/>
    </row>
    <row r="24" ht="48.75" customHeight="1">
      <c r="A24" s="152"/>
      <c r="B24" s="9"/>
      <c r="C24" s="68">
        <v>2.0</v>
      </c>
      <c r="D24" s="70" t="s">
        <v>25</v>
      </c>
      <c r="E24" s="62" t="s">
        <v>106</v>
      </c>
      <c r="F24" s="59" t="s">
        <v>135</v>
      </c>
      <c r="G24" s="28"/>
      <c r="H24" s="73" t="s">
        <v>117</v>
      </c>
      <c r="I24" s="68">
        <v>86.0</v>
      </c>
      <c r="J24" s="68">
        <v>97.0</v>
      </c>
      <c r="K24" s="111">
        <v>82.0</v>
      </c>
      <c r="L24" s="167">
        <v>133.0</v>
      </c>
      <c r="M24" s="155" t="s">
        <v>404</v>
      </c>
      <c r="N24" s="78"/>
      <c r="O24" s="79" t="s">
        <v>123</v>
      </c>
      <c r="P24" s="142">
        <v>100.0</v>
      </c>
      <c r="Q24" s="124">
        <v>105.0</v>
      </c>
      <c r="R24" s="124">
        <v>110.0</v>
      </c>
      <c r="S24" s="124">
        <v>115.0</v>
      </c>
      <c r="T24" s="124">
        <v>120.0</v>
      </c>
      <c r="U24" s="125"/>
      <c r="V24" s="171" t="s">
        <v>411</v>
      </c>
      <c r="W24" s="59" t="s">
        <v>412</v>
      </c>
      <c r="X24" s="68" t="s">
        <v>187</v>
      </c>
      <c r="Y24" s="165"/>
      <c r="Z24" s="29"/>
      <c r="AA24" s="24"/>
      <c r="AB24" s="28"/>
    </row>
    <row r="25" ht="36.75" customHeight="1">
      <c r="A25" s="31" t="s">
        <v>30</v>
      </c>
      <c r="B25" s="26" t="s">
        <v>413</v>
      </c>
      <c r="C25" s="68">
        <v>1.0</v>
      </c>
      <c r="D25" s="70" t="s">
        <v>35</v>
      </c>
      <c r="E25" s="62" t="s">
        <v>106</v>
      </c>
      <c r="F25" s="59" t="s">
        <v>116</v>
      </c>
      <c r="G25" s="28"/>
      <c r="H25" s="73" t="s">
        <v>117</v>
      </c>
      <c r="I25" s="17" t="s">
        <v>416</v>
      </c>
      <c r="J25" s="17" t="s">
        <v>417</v>
      </c>
      <c r="K25" s="63" t="s">
        <v>418</v>
      </c>
      <c r="L25" s="174" t="s">
        <v>420</v>
      </c>
      <c r="M25" s="155" t="s">
        <v>421</v>
      </c>
      <c r="N25" s="104"/>
      <c r="O25" s="79" t="s">
        <v>123</v>
      </c>
      <c r="P25" s="177">
        <v>0.48</v>
      </c>
      <c r="Q25" s="103">
        <v>0.483</v>
      </c>
      <c r="R25" s="103">
        <v>0.486</v>
      </c>
      <c r="S25" s="103">
        <v>0.488</v>
      </c>
      <c r="T25" s="103">
        <v>0.49</v>
      </c>
      <c r="U25" s="106"/>
      <c r="V25" s="107" t="s">
        <v>432</v>
      </c>
      <c r="W25" s="107" t="s">
        <v>433</v>
      </c>
      <c r="X25" s="59" t="s">
        <v>434</v>
      </c>
      <c r="Y25" s="30" t="s">
        <v>433</v>
      </c>
      <c r="Z25" s="29"/>
      <c r="AA25" s="24"/>
      <c r="AB25" s="28"/>
    </row>
    <row r="26" ht="36.75" customHeight="1">
      <c r="A26" s="9"/>
      <c r="B26" s="9"/>
      <c r="C26" s="68">
        <v>2.0</v>
      </c>
      <c r="D26" s="70" t="s">
        <v>437</v>
      </c>
      <c r="E26" s="62" t="s">
        <v>106</v>
      </c>
      <c r="F26" s="59" t="s">
        <v>116</v>
      </c>
      <c r="G26" s="101" t="s">
        <v>442</v>
      </c>
      <c r="H26" s="73" t="s">
        <v>117</v>
      </c>
      <c r="I26" s="73" t="s">
        <v>444</v>
      </c>
      <c r="J26" s="59" t="s">
        <v>446</v>
      </c>
      <c r="K26" s="63" t="s">
        <v>447</v>
      </c>
      <c r="L26" s="92" t="s">
        <v>448</v>
      </c>
      <c r="M26" s="167" t="s">
        <v>449</v>
      </c>
      <c r="N26" s="121"/>
      <c r="O26" s="79" t="s">
        <v>123</v>
      </c>
      <c r="P26" s="177">
        <v>0.925</v>
      </c>
      <c r="Q26" s="103">
        <v>0.9253</v>
      </c>
      <c r="R26" s="103">
        <v>0.9256</v>
      </c>
      <c r="S26" s="103">
        <v>0.9258</v>
      </c>
      <c r="T26" s="103">
        <v>0.926</v>
      </c>
      <c r="U26" s="106"/>
      <c r="V26" s="59" t="s">
        <v>455</v>
      </c>
      <c r="W26" s="107" t="s">
        <v>455</v>
      </c>
      <c r="X26" s="59" t="s">
        <v>167</v>
      </c>
      <c r="Y26" s="30" t="s">
        <v>457</v>
      </c>
      <c r="Z26" s="29"/>
      <c r="AA26" s="24"/>
      <c r="AB26" s="28"/>
    </row>
    <row r="27" ht="149.25" customHeight="1">
      <c r="A27" s="9"/>
      <c r="B27" s="21"/>
      <c r="C27" s="68">
        <v>3.0</v>
      </c>
      <c r="D27" s="70" t="s">
        <v>460</v>
      </c>
      <c r="E27" s="62" t="s">
        <v>106</v>
      </c>
      <c r="F27" s="59" t="s">
        <v>173</v>
      </c>
      <c r="G27" s="101" t="s">
        <v>461</v>
      </c>
      <c r="H27" s="73" t="s">
        <v>117</v>
      </c>
      <c r="I27" s="73" t="s">
        <v>462</v>
      </c>
      <c r="J27" s="17" t="s">
        <v>462</v>
      </c>
      <c r="K27" s="63" t="s">
        <v>464</v>
      </c>
      <c r="L27" s="92" t="s">
        <v>466</v>
      </c>
      <c r="M27" s="155" t="s">
        <v>468</v>
      </c>
      <c r="N27" s="104"/>
      <c r="O27" s="79" t="s">
        <v>123</v>
      </c>
      <c r="P27" s="68">
        <v>1000.0</v>
      </c>
      <c r="Q27" s="124">
        <v>350.0</v>
      </c>
      <c r="R27" s="124">
        <v>400.0</v>
      </c>
      <c r="S27" s="124">
        <v>450.0</v>
      </c>
      <c r="T27" s="124">
        <v>500.0</v>
      </c>
      <c r="U27" s="125"/>
      <c r="V27" s="59" t="s">
        <v>478</v>
      </c>
      <c r="W27" s="183" t="s">
        <v>481</v>
      </c>
      <c r="X27" s="59" t="s">
        <v>483</v>
      </c>
      <c r="Y27" s="184" t="s">
        <v>481</v>
      </c>
      <c r="Z27" s="40"/>
      <c r="AA27" s="41"/>
      <c r="AB27" s="184" t="s">
        <v>490</v>
      </c>
      <c r="AC27" s="40"/>
      <c r="AD27" s="41"/>
    </row>
    <row r="28" ht="36.75" customHeight="1">
      <c r="A28" s="9"/>
      <c r="B28" s="26" t="s">
        <v>493</v>
      </c>
      <c r="C28" s="68">
        <v>1.0</v>
      </c>
      <c r="D28" s="70" t="s">
        <v>504</v>
      </c>
      <c r="E28" s="62" t="s">
        <v>106</v>
      </c>
      <c r="F28" s="59" t="s">
        <v>116</v>
      </c>
      <c r="G28" s="185" t="s">
        <v>506</v>
      </c>
      <c r="H28" s="73" t="s">
        <v>117</v>
      </c>
      <c r="I28" s="17" t="s">
        <v>508</v>
      </c>
      <c r="J28" s="17" t="s">
        <v>509</v>
      </c>
      <c r="K28" s="63" t="s">
        <v>510</v>
      </c>
      <c r="L28" s="92" t="s">
        <v>511</v>
      </c>
      <c r="M28" s="167" t="s">
        <v>512</v>
      </c>
      <c r="N28" s="104"/>
      <c r="O28" s="79" t="s">
        <v>123</v>
      </c>
      <c r="P28" s="109">
        <v>0.91</v>
      </c>
      <c r="Q28" s="74">
        <v>0.912</v>
      </c>
      <c r="R28" s="74">
        <v>0.914</v>
      </c>
      <c r="S28" s="74">
        <v>0.916</v>
      </c>
      <c r="T28" s="74">
        <v>0.918</v>
      </c>
      <c r="U28" s="117"/>
      <c r="V28" s="107" t="s">
        <v>517</v>
      </c>
      <c r="W28" s="186" t="s">
        <v>521</v>
      </c>
      <c r="X28" s="26" t="s">
        <v>524</v>
      </c>
      <c r="Y28" s="30" t="s">
        <v>525</v>
      </c>
      <c r="Z28" s="29"/>
      <c r="AA28" s="24"/>
      <c r="AB28" s="187" t="s">
        <v>526</v>
      </c>
    </row>
    <row r="29" ht="36.75" customHeight="1">
      <c r="A29" s="21"/>
      <c r="B29" s="21"/>
      <c r="C29" s="68">
        <v>2.0</v>
      </c>
      <c r="D29" s="70" t="s">
        <v>527</v>
      </c>
      <c r="E29" s="62"/>
      <c r="F29" s="59" t="s">
        <v>528</v>
      </c>
      <c r="G29" s="145" t="s">
        <v>106</v>
      </c>
      <c r="H29" s="73" t="s">
        <v>117</v>
      </c>
      <c r="I29" s="84" t="s">
        <v>529</v>
      </c>
      <c r="J29" s="84" t="s">
        <v>531</v>
      </c>
      <c r="K29" s="63" t="s">
        <v>531</v>
      </c>
      <c r="L29" s="167" t="s">
        <v>531</v>
      </c>
      <c r="M29" s="167" t="s">
        <v>539</v>
      </c>
      <c r="N29" s="121"/>
      <c r="O29" s="145" t="s">
        <v>531</v>
      </c>
      <c r="P29" s="145" t="s">
        <v>531</v>
      </c>
      <c r="Q29" s="91" t="s">
        <v>531</v>
      </c>
      <c r="R29" s="91" t="s">
        <v>531</v>
      </c>
      <c r="S29" s="91" t="s">
        <v>531</v>
      </c>
      <c r="T29" s="91" t="s">
        <v>531</v>
      </c>
      <c r="U29" s="189"/>
      <c r="V29" s="145" t="s">
        <v>517</v>
      </c>
      <c r="W29" s="145"/>
      <c r="X29" s="21"/>
      <c r="Y29" s="156"/>
      <c r="Z29" s="4"/>
      <c r="AA29" s="10"/>
      <c r="AB29" s="190"/>
    </row>
    <row r="30" ht="36.75" customHeight="1">
      <c r="D30" s="191"/>
      <c r="I30" s="192"/>
      <c r="L30" s="194"/>
      <c r="M30" s="194"/>
    </row>
    <row r="31" ht="36.75" customHeight="1">
      <c r="D31" s="191"/>
      <c r="I31" s="192"/>
      <c r="L31" s="194"/>
      <c r="M31" s="194"/>
    </row>
    <row r="32" ht="36.75" customHeight="1">
      <c r="D32" s="191"/>
      <c r="I32" s="192"/>
      <c r="L32" s="194"/>
      <c r="M32" s="194"/>
    </row>
    <row r="33" ht="36.75" customHeight="1">
      <c r="D33" s="191"/>
      <c r="I33" s="192"/>
      <c r="L33" s="194"/>
      <c r="M33" s="194"/>
    </row>
    <row r="34" ht="36.75" customHeight="1">
      <c r="D34" s="191"/>
      <c r="I34" s="192"/>
      <c r="L34" s="194"/>
      <c r="M34" s="194"/>
    </row>
    <row r="35" ht="36.75" customHeight="1">
      <c r="D35" s="191"/>
      <c r="I35" s="192"/>
      <c r="L35" s="194"/>
      <c r="M35" s="194"/>
    </row>
    <row r="36" ht="36.75" customHeight="1">
      <c r="D36" s="191"/>
      <c r="I36" s="192"/>
      <c r="L36" s="194"/>
      <c r="M36" s="194"/>
    </row>
    <row r="37" ht="36.75" customHeight="1">
      <c r="D37" s="191"/>
      <c r="I37" s="192"/>
      <c r="L37" s="194"/>
      <c r="M37" s="194"/>
    </row>
    <row r="38" ht="36.75" customHeight="1">
      <c r="D38" s="191"/>
      <c r="I38" s="192"/>
      <c r="L38" s="194"/>
      <c r="M38" s="194"/>
    </row>
    <row r="39" ht="36.75" customHeight="1">
      <c r="D39" s="191"/>
      <c r="I39" s="192"/>
      <c r="L39" s="194"/>
      <c r="M39" s="194"/>
    </row>
    <row r="40" ht="36.75" customHeight="1">
      <c r="D40" s="191"/>
      <c r="I40" s="192"/>
      <c r="L40" s="194"/>
      <c r="M40" s="194"/>
    </row>
    <row r="41" ht="36.75" customHeight="1">
      <c r="D41" s="191"/>
      <c r="I41" s="192"/>
      <c r="L41" s="194"/>
      <c r="M41" s="194"/>
    </row>
    <row r="42" ht="36.75" customHeight="1">
      <c r="D42" s="191"/>
      <c r="I42" s="192"/>
      <c r="L42" s="194"/>
      <c r="M42" s="194"/>
    </row>
    <row r="43" ht="36.75" customHeight="1">
      <c r="D43" s="191"/>
      <c r="I43" s="192"/>
      <c r="L43" s="194"/>
      <c r="M43" s="194"/>
    </row>
    <row r="44" ht="36.75" customHeight="1">
      <c r="D44" s="191"/>
      <c r="I44" s="192"/>
      <c r="L44" s="194"/>
      <c r="M44" s="194"/>
    </row>
    <row r="45" ht="36.75" customHeight="1">
      <c r="D45" s="191"/>
      <c r="I45" s="192"/>
      <c r="L45" s="194"/>
      <c r="M45" s="194"/>
    </row>
    <row r="46" ht="36.75" customHeight="1">
      <c r="D46" s="191"/>
      <c r="I46" s="192"/>
      <c r="L46" s="194"/>
      <c r="M46" s="194"/>
    </row>
    <row r="47" ht="36.75" customHeight="1">
      <c r="D47" s="191"/>
      <c r="I47" s="192"/>
      <c r="L47" s="194"/>
      <c r="M47" s="194"/>
    </row>
    <row r="48" ht="36.75" customHeight="1">
      <c r="D48" s="191"/>
      <c r="I48" s="192"/>
      <c r="L48" s="194"/>
      <c r="M48" s="194"/>
    </row>
    <row r="49" ht="36.75" customHeight="1">
      <c r="D49" s="191"/>
      <c r="I49" s="192"/>
      <c r="L49" s="194"/>
      <c r="M49" s="194"/>
    </row>
    <row r="50" ht="36.75" customHeight="1">
      <c r="D50" s="191"/>
      <c r="I50" s="192"/>
      <c r="L50" s="194"/>
      <c r="M50" s="194"/>
    </row>
    <row r="51" ht="36.75" customHeight="1">
      <c r="D51" s="191"/>
      <c r="I51" s="192"/>
      <c r="L51" s="194"/>
      <c r="M51" s="194"/>
    </row>
    <row r="52" ht="36.75" customHeight="1">
      <c r="D52" s="191"/>
      <c r="I52" s="192"/>
      <c r="L52" s="194"/>
      <c r="M52" s="194"/>
    </row>
    <row r="53" ht="36.75" customHeight="1">
      <c r="D53" s="191"/>
      <c r="I53" s="192"/>
      <c r="L53" s="194"/>
      <c r="M53" s="194"/>
    </row>
    <row r="54" ht="36.75" customHeight="1">
      <c r="D54" s="191"/>
      <c r="I54" s="192"/>
      <c r="L54" s="194"/>
      <c r="M54" s="194"/>
    </row>
    <row r="55" ht="36.75" customHeight="1">
      <c r="D55" s="191"/>
      <c r="I55" s="192"/>
      <c r="L55" s="194"/>
      <c r="M55" s="194"/>
    </row>
    <row r="56" ht="36.75" customHeight="1">
      <c r="D56" s="191"/>
      <c r="I56" s="192"/>
      <c r="L56" s="194"/>
      <c r="M56" s="194"/>
    </row>
    <row r="57" ht="36.75" customHeight="1">
      <c r="D57" s="191"/>
      <c r="I57" s="192"/>
      <c r="L57" s="194"/>
      <c r="M57" s="194"/>
    </row>
    <row r="58" ht="36.75" customHeight="1">
      <c r="D58" s="191"/>
      <c r="I58" s="192"/>
      <c r="L58" s="194"/>
      <c r="M58" s="194"/>
    </row>
    <row r="59" ht="36.75" customHeight="1">
      <c r="D59" s="191"/>
      <c r="I59" s="192"/>
      <c r="L59" s="194"/>
      <c r="M59" s="194"/>
    </row>
    <row r="60" ht="36.75" customHeight="1">
      <c r="D60" s="191"/>
      <c r="I60" s="192"/>
      <c r="L60" s="194"/>
      <c r="M60" s="194"/>
    </row>
    <row r="61" ht="36.75" customHeight="1">
      <c r="D61" s="191"/>
      <c r="I61" s="192"/>
      <c r="L61" s="194"/>
      <c r="M61" s="194"/>
    </row>
    <row r="62" ht="36.75" customHeight="1">
      <c r="D62" s="191"/>
      <c r="I62" s="192"/>
      <c r="L62" s="194"/>
      <c r="M62" s="194"/>
    </row>
    <row r="63" ht="36.75" customHeight="1">
      <c r="D63" s="191"/>
      <c r="I63" s="192"/>
      <c r="L63" s="194"/>
      <c r="M63" s="194"/>
    </row>
    <row r="64" ht="36.75" customHeight="1">
      <c r="D64" s="191"/>
      <c r="I64" s="192"/>
      <c r="L64" s="194"/>
      <c r="M64" s="194"/>
    </row>
    <row r="65" ht="36.75" customHeight="1">
      <c r="D65" s="191"/>
      <c r="I65" s="192"/>
      <c r="L65" s="194"/>
      <c r="M65" s="194"/>
    </row>
    <row r="66" ht="36.75" customHeight="1">
      <c r="D66" s="191"/>
      <c r="I66" s="192"/>
      <c r="L66" s="194"/>
      <c r="M66" s="194"/>
    </row>
    <row r="67" ht="36.75" customHeight="1">
      <c r="D67" s="191"/>
      <c r="I67" s="192"/>
      <c r="L67" s="194"/>
      <c r="M67" s="194"/>
    </row>
    <row r="68" ht="36.75" customHeight="1">
      <c r="D68" s="191"/>
      <c r="I68" s="192"/>
      <c r="L68" s="194"/>
      <c r="M68" s="194"/>
    </row>
    <row r="69" ht="36.75" customHeight="1">
      <c r="D69" s="191"/>
      <c r="I69" s="192"/>
      <c r="L69" s="194"/>
      <c r="M69" s="194"/>
    </row>
    <row r="70" ht="36.75" customHeight="1">
      <c r="D70" s="191"/>
      <c r="I70" s="192"/>
      <c r="L70" s="194"/>
      <c r="M70" s="194"/>
    </row>
    <row r="71" ht="36.75" customHeight="1">
      <c r="D71" s="191"/>
      <c r="I71" s="192"/>
      <c r="L71" s="194"/>
      <c r="M71" s="194"/>
    </row>
    <row r="72" ht="36.75" customHeight="1">
      <c r="D72" s="191"/>
      <c r="I72" s="192"/>
      <c r="L72" s="194"/>
      <c r="M72" s="194"/>
    </row>
    <row r="73" ht="36.75" customHeight="1">
      <c r="D73" s="191"/>
      <c r="I73" s="192"/>
      <c r="L73" s="194"/>
      <c r="M73" s="194"/>
    </row>
    <row r="74" ht="36.75" customHeight="1">
      <c r="D74" s="191"/>
      <c r="I74" s="192"/>
      <c r="L74" s="194"/>
      <c r="M74" s="194"/>
    </row>
    <row r="75" ht="36.75" customHeight="1">
      <c r="D75" s="191"/>
      <c r="I75" s="192"/>
      <c r="L75" s="194"/>
      <c r="M75" s="194"/>
    </row>
    <row r="76" ht="36.75" customHeight="1">
      <c r="D76" s="191"/>
      <c r="I76" s="192"/>
      <c r="L76" s="194"/>
      <c r="M76" s="194"/>
    </row>
    <row r="77" ht="36.75" customHeight="1">
      <c r="D77" s="191"/>
      <c r="I77" s="192"/>
      <c r="L77" s="194"/>
      <c r="M77" s="194"/>
    </row>
    <row r="78" ht="36.75" customHeight="1">
      <c r="D78" s="191"/>
      <c r="I78" s="192"/>
      <c r="L78" s="194"/>
      <c r="M78" s="194"/>
    </row>
    <row r="79" ht="36.75" customHeight="1">
      <c r="D79" s="191"/>
      <c r="I79" s="192"/>
      <c r="L79" s="194"/>
      <c r="M79" s="194"/>
    </row>
    <row r="80" ht="36.75" customHeight="1">
      <c r="D80" s="191"/>
      <c r="I80" s="192"/>
      <c r="L80" s="194"/>
      <c r="M80" s="194"/>
    </row>
    <row r="81" ht="36.75" customHeight="1">
      <c r="D81" s="191"/>
      <c r="I81" s="192"/>
      <c r="L81" s="194"/>
      <c r="M81" s="194"/>
    </row>
    <row r="82" ht="36.75" customHeight="1">
      <c r="D82" s="191"/>
      <c r="I82" s="192"/>
      <c r="L82" s="194"/>
      <c r="M82" s="194"/>
    </row>
    <row r="83" ht="36.75" customHeight="1">
      <c r="D83" s="191"/>
      <c r="I83" s="192"/>
      <c r="L83" s="194"/>
      <c r="M83" s="194"/>
    </row>
    <row r="84" ht="36.75" customHeight="1">
      <c r="D84" s="191"/>
      <c r="I84" s="192"/>
      <c r="L84" s="194"/>
      <c r="M84" s="194"/>
    </row>
    <row r="85" ht="36.75" customHeight="1">
      <c r="D85" s="191"/>
      <c r="I85" s="192"/>
      <c r="L85" s="194"/>
      <c r="M85" s="194"/>
    </row>
    <row r="86" ht="36.75" customHeight="1">
      <c r="D86" s="191"/>
      <c r="I86" s="192"/>
      <c r="L86" s="194"/>
      <c r="M86" s="194"/>
    </row>
    <row r="87" ht="36.75" customHeight="1">
      <c r="D87" s="191"/>
      <c r="I87" s="192"/>
      <c r="L87" s="194"/>
      <c r="M87" s="194"/>
    </row>
    <row r="88" ht="36.75" customHeight="1">
      <c r="D88" s="191"/>
      <c r="I88" s="192"/>
      <c r="L88" s="194"/>
      <c r="M88" s="194"/>
    </row>
    <row r="89" ht="36.75" customHeight="1">
      <c r="D89" s="191"/>
      <c r="I89" s="192"/>
      <c r="L89" s="194"/>
      <c r="M89" s="194"/>
    </row>
    <row r="90" ht="36.75" customHeight="1">
      <c r="D90" s="191"/>
      <c r="I90" s="192"/>
      <c r="L90" s="194"/>
      <c r="M90" s="194"/>
    </row>
    <row r="91" ht="36.75" customHeight="1">
      <c r="D91" s="191"/>
      <c r="I91" s="192"/>
      <c r="L91" s="194"/>
      <c r="M91" s="194"/>
    </row>
    <row r="92" ht="36.75" customHeight="1">
      <c r="D92" s="191"/>
      <c r="I92" s="192"/>
      <c r="L92" s="194"/>
      <c r="M92" s="194"/>
    </row>
    <row r="93" ht="36.75" customHeight="1">
      <c r="D93" s="191"/>
      <c r="I93" s="192"/>
      <c r="L93" s="194"/>
      <c r="M93" s="194"/>
    </row>
    <row r="94" ht="36.75" customHeight="1">
      <c r="D94" s="191"/>
      <c r="I94" s="192"/>
      <c r="L94" s="194"/>
      <c r="M94" s="194"/>
    </row>
    <row r="95" ht="36.75" customHeight="1">
      <c r="D95" s="191"/>
      <c r="I95" s="192"/>
      <c r="L95" s="194"/>
      <c r="M95" s="194"/>
    </row>
    <row r="96" ht="36.75" customHeight="1">
      <c r="D96" s="191"/>
      <c r="I96" s="192"/>
      <c r="L96" s="194"/>
      <c r="M96" s="194"/>
    </row>
    <row r="97" ht="36.75" customHeight="1">
      <c r="D97" s="191"/>
      <c r="I97" s="192"/>
      <c r="L97" s="194"/>
      <c r="M97" s="194"/>
    </row>
    <row r="98" ht="36.75" customHeight="1">
      <c r="D98" s="191"/>
      <c r="I98" s="192"/>
      <c r="L98" s="194"/>
      <c r="M98" s="194"/>
    </row>
    <row r="99" ht="36.75" customHeight="1">
      <c r="D99" s="191"/>
      <c r="I99" s="192"/>
      <c r="L99" s="194"/>
      <c r="M99" s="194"/>
    </row>
    <row r="100" ht="36.75" customHeight="1">
      <c r="D100" s="191"/>
      <c r="I100" s="192"/>
      <c r="L100" s="194"/>
      <c r="M100" s="194"/>
    </row>
    <row r="101" ht="36.75" customHeight="1">
      <c r="D101" s="191"/>
      <c r="I101" s="192"/>
      <c r="L101" s="194"/>
      <c r="M101" s="194"/>
    </row>
    <row r="102" ht="36.75" customHeight="1">
      <c r="D102" s="191"/>
      <c r="I102" s="192"/>
      <c r="L102" s="194"/>
      <c r="M102" s="194"/>
    </row>
    <row r="103" ht="36.75" customHeight="1">
      <c r="D103" s="191"/>
      <c r="I103" s="192"/>
      <c r="L103" s="194"/>
      <c r="M103" s="194"/>
    </row>
    <row r="104" ht="36.75" customHeight="1">
      <c r="D104" s="191"/>
      <c r="I104" s="192"/>
      <c r="L104" s="194"/>
      <c r="M104" s="194"/>
    </row>
    <row r="105" ht="36.75" customHeight="1">
      <c r="D105" s="191"/>
      <c r="I105" s="192"/>
      <c r="L105" s="194"/>
      <c r="M105" s="194"/>
    </row>
    <row r="106" ht="36.75" customHeight="1">
      <c r="D106" s="191"/>
      <c r="I106" s="192"/>
      <c r="L106" s="194"/>
      <c r="M106" s="194"/>
    </row>
    <row r="107" ht="36.75" customHeight="1">
      <c r="D107" s="191"/>
      <c r="I107" s="192"/>
      <c r="L107" s="194"/>
      <c r="M107" s="194"/>
    </row>
    <row r="108" ht="36.75" customHeight="1">
      <c r="D108" s="191"/>
      <c r="I108" s="192"/>
      <c r="L108" s="194"/>
      <c r="M108" s="194"/>
    </row>
    <row r="109" ht="36.75" customHeight="1">
      <c r="D109" s="191"/>
      <c r="I109" s="192"/>
      <c r="L109" s="194"/>
      <c r="M109" s="194"/>
    </row>
    <row r="110" ht="36.75" customHeight="1">
      <c r="D110" s="191"/>
      <c r="I110" s="192"/>
      <c r="L110" s="194"/>
      <c r="M110" s="194"/>
    </row>
    <row r="111" ht="36.75" customHeight="1">
      <c r="D111" s="191"/>
      <c r="I111" s="192"/>
      <c r="L111" s="194"/>
      <c r="M111" s="194"/>
    </row>
    <row r="112" ht="36.75" customHeight="1">
      <c r="D112" s="191"/>
      <c r="I112" s="192"/>
      <c r="L112" s="194"/>
      <c r="M112" s="194"/>
    </row>
    <row r="113" ht="36.75" customHeight="1">
      <c r="D113" s="191"/>
      <c r="I113" s="192"/>
      <c r="L113" s="194"/>
      <c r="M113" s="194"/>
    </row>
    <row r="114" ht="36.75" customHeight="1">
      <c r="D114" s="191"/>
      <c r="I114" s="192"/>
      <c r="L114" s="194"/>
      <c r="M114" s="194"/>
    </row>
    <row r="115" ht="36.75" customHeight="1">
      <c r="D115" s="191"/>
      <c r="I115" s="192"/>
      <c r="L115" s="194"/>
      <c r="M115" s="194"/>
    </row>
    <row r="116" ht="36.75" customHeight="1">
      <c r="D116" s="191"/>
      <c r="I116" s="192"/>
      <c r="L116" s="194"/>
      <c r="M116" s="194"/>
    </row>
    <row r="117" ht="36.75" customHeight="1">
      <c r="D117" s="191"/>
      <c r="I117" s="192"/>
      <c r="L117" s="194"/>
      <c r="M117" s="194"/>
    </row>
    <row r="118" ht="36.75" customHeight="1">
      <c r="D118" s="191"/>
      <c r="I118" s="192"/>
      <c r="L118" s="194"/>
      <c r="M118" s="194"/>
    </row>
    <row r="119" ht="36.75" customHeight="1">
      <c r="D119" s="191"/>
      <c r="I119" s="192"/>
      <c r="L119" s="194"/>
      <c r="M119" s="194"/>
    </row>
    <row r="120" ht="36.75" customHeight="1">
      <c r="D120" s="191"/>
      <c r="I120" s="192"/>
      <c r="L120" s="194"/>
      <c r="M120" s="194"/>
    </row>
    <row r="121" ht="36.75" customHeight="1">
      <c r="D121" s="191"/>
      <c r="I121" s="192"/>
      <c r="L121" s="194"/>
      <c r="M121" s="194"/>
    </row>
    <row r="122" ht="36.75" customHeight="1">
      <c r="D122" s="191"/>
      <c r="I122" s="192"/>
      <c r="L122" s="194"/>
      <c r="M122" s="194"/>
    </row>
    <row r="123" ht="36.75" customHeight="1">
      <c r="D123" s="191"/>
      <c r="I123" s="192"/>
      <c r="L123" s="194"/>
      <c r="M123" s="194"/>
    </row>
    <row r="124" ht="36.75" customHeight="1">
      <c r="D124" s="191"/>
      <c r="I124" s="192"/>
      <c r="L124" s="194"/>
      <c r="M124" s="194"/>
    </row>
    <row r="125" ht="36.75" customHeight="1">
      <c r="D125" s="191"/>
      <c r="I125" s="192"/>
      <c r="L125" s="194"/>
      <c r="M125" s="194"/>
    </row>
    <row r="126" ht="36.75" customHeight="1">
      <c r="D126" s="191"/>
      <c r="I126" s="192"/>
      <c r="L126" s="194"/>
      <c r="M126" s="194"/>
    </row>
    <row r="127" ht="36.75" customHeight="1">
      <c r="D127" s="191"/>
      <c r="I127" s="192"/>
      <c r="L127" s="194"/>
      <c r="M127" s="194"/>
    </row>
    <row r="128" ht="36.75" customHeight="1">
      <c r="D128" s="191"/>
      <c r="I128" s="192"/>
      <c r="L128" s="194"/>
      <c r="M128" s="194"/>
    </row>
    <row r="129" ht="36.75" customHeight="1">
      <c r="D129" s="191"/>
      <c r="I129" s="192"/>
      <c r="L129" s="194"/>
      <c r="M129" s="194"/>
    </row>
    <row r="130" ht="36.75" customHeight="1">
      <c r="D130" s="191"/>
      <c r="I130" s="192"/>
      <c r="L130" s="194"/>
      <c r="M130" s="194"/>
    </row>
    <row r="131" ht="36.75" customHeight="1">
      <c r="D131" s="191"/>
      <c r="I131" s="192"/>
      <c r="L131" s="194"/>
      <c r="M131" s="194"/>
    </row>
    <row r="132" ht="36.75" customHeight="1">
      <c r="D132" s="191"/>
      <c r="I132" s="192"/>
      <c r="L132" s="194"/>
      <c r="M132" s="194"/>
    </row>
    <row r="133" ht="36.75" customHeight="1">
      <c r="D133" s="191"/>
      <c r="I133" s="192"/>
      <c r="L133" s="194"/>
      <c r="M133" s="194"/>
    </row>
    <row r="134" ht="36.75" customHeight="1">
      <c r="D134" s="191"/>
      <c r="I134" s="192"/>
      <c r="L134" s="194"/>
      <c r="M134" s="194"/>
    </row>
    <row r="135" ht="36.75" customHeight="1">
      <c r="D135" s="191"/>
      <c r="I135" s="192"/>
      <c r="L135" s="194"/>
      <c r="M135" s="194"/>
    </row>
    <row r="136" ht="36.75" customHeight="1">
      <c r="D136" s="191"/>
      <c r="I136" s="192"/>
      <c r="L136" s="194"/>
      <c r="M136" s="194"/>
    </row>
    <row r="137" ht="36.75" customHeight="1">
      <c r="D137" s="191"/>
      <c r="I137" s="192"/>
      <c r="L137" s="194"/>
      <c r="M137" s="194"/>
    </row>
    <row r="138" ht="36.75" customHeight="1">
      <c r="D138" s="191"/>
      <c r="I138" s="192"/>
      <c r="L138" s="194"/>
      <c r="M138" s="194"/>
    </row>
    <row r="139" ht="36.75" customHeight="1">
      <c r="D139" s="191"/>
      <c r="I139" s="192"/>
      <c r="L139" s="194"/>
      <c r="M139" s="194"/>
    </row>
    <row r="140" ht="36.75" customHeight="1">
      <c r="D140" s="191"/>
      <c r="I140" s="192"/>
      <c r="L140" s="194"/>
      <c r="M140" s="194"/>
    </row>
    <row r="141" ht="36.75" customHeight="1">
      <c r="D141" s="191"/>
      <c r="I141" s="192"/>
      <c r="L141" s="194"/>
      <c r="M141" s="194"/>
    </row>
    <row r="142" ht="36.75" customHeight="1">
      <c r="D142" s="191"/>
      <c r="I142" s="192"/>
      <c r="L142" s="194"/>
      <c r="M142" s="194"/>
    </row>
    <row r="143" ht="36.75" customHeight="1">
      <c r="D143" s="191"/>
      <c r="I143" s="192"/>
      <c r="L143" s="194"/>
      <c r="M143" s="194"/>
    </row>
    <row r="144" ht="36.75" customHeight="1">
      <c r="D144" s="191"/>
      <c r="I144" s="192"/>
      <c r="L144" s="194"/>
      <c r="M144" s="194"/>
    </row>
    <row r="145" ht="36.75" customHeight="1">
      <c r="D145" s="191"/>
      <c r="I145" s="192"/>
      <c r="L145" s="194"/>
      <c r="M145" s="194"/>
    </row>
    <row r="146" ht="36.75" customHeight="1">
      <c r="D146" s="191"/>
      <c r="I146" s="192"/>
      <c r="L146" s="194"/>
      <c r="M146" s="194"/>
    </row>
    <row r="147" ht="36.75" customHeight="1">
      <c r="D147" s="191"/>
      <c r="I147" s="192"/>
      <c r="L147" s="194"/>
      <c r="M147" s="194"/>
    </row>
    <row r="148" ht="36.75" customHeight="1">
      <c r="D148" s="191"/>
      <c r="I148" s="192"/>
      <c r="L148" s="194"/>
      <c r="M148" s="194"/>
    </row>
    <row r="149" ht="36.75" customHeight="1">
      <c r="D149" s="191"/>
      <c r="I149" s="192"/>
      <c r="L149" s="194"/>
      <c r="M149" s="194"/>
    </row>
    <row r="150" ht="36.75" customHeight="1">
      <c r="D150" s="191"/>
      <c r="I150" s="192"/>
      <c r="L150" s="194"/>
      <c r="M150" s="194"/>
    </row>
    <row r="151" ht="36.75" customHeight="1">
      <c r="D151" s="191"/>
      <c r="I151" s="192"/>
      <c r="L151" s="194"/>
      <c r="M151" s="194"/>
    </row>
    <row r="152" ht="36.75" customHeight="1">
      <c r="D152" s="191"/>
      <c r="I152" s="192"/>
      <c r="L152" s="194"/>
      <c r="M152" s="194"/>
    </row>
    <row r="153" ht="36.75" customHeight="1">
      <c r="D153" s="191"/>
      <c r="I153" s="192"/>
      <c r="L153" s="194"/>
      <c r="M153" s="194"/>
    </row>
    <row r="154" ht="36.75" customHeight="1">
      <c r="D154" s="191"/>
      <c r="I154" s="192"/>
      <c r="L154" s="194"/>
      <c r="M154" s="194"/>
    </row>
    <row r="155" ht="36.75" customHeight="1">
      <c r="D155" s="191"/>
      <c r="I155" s="192"/>
      <c r="L155" s="194"/>
      <c r="M155" s="194"/>
    </row>
    <row r="156" ht="36.75" customHeight="1">
      <c r="D156" s="191"/>
      <c r="I156" s="192"/>
      <c r="L156" s="194"/>
      <c r="M156" s="194"/>
    </row>
    <row r="157" ht="36.75" customHeight="1">
      <c r="D157" s="191"/>
      <c r="I157" s="192"/>
      <c r="L157" s="194"/>
      <c r="M157" s="194"/>
    </row>
    <row r="158" ht="36.75" customHeight="1">
      <c r="D158" s="191"/>
      <c r="I158" s="192"/>
      <c r="L158" s="194"/>
      <c r="M158" s="194"/>
    </row>
    <row r="159" ht="36.75" customHeight="1">
      <c r="D159" s="191"/>
      <c r="I159" s="192"/>
      <c r="L159" s="194"/>
      <c r="M159" s="194"/>
    </row>
    <row r="160" ht="36.75" customHeight="1">
      <c r="D160" s="191"/>
      <c r="I160" s="192"/>
      <c r="L160" s="194"/>
      <c r="M160" s="194"/>
    </row>
    <row r="161" ht="36.75" customHeight="1">
      <c r="D161" s="191"/>
      <c r="I161" s="192"/>
      <c r="L161" s="194"/>
      <c r="M161" s="194"/>
    </row>
    <row r="162" ht="36.75" customHeight="1">
      <c r="D162" s="191"/>
      <c r="I162" s="192"/>
      <c r="L162" s="194"/>
      <c r="M162" s="194"/>
    </row>
    <row r="163" ht="36.75" customHeight="1">
      <c r="D163" s="191"/>
      <c r="I163" s="192"/>
      <c r="L163" s="194"/>
      <c r="M163" s="194"/>
    </row>
    <row r="164" ht="36.75" customHeight="1">
      <c r="D164" s="191"/>
      <c r="I164" s="192"/>
      <c r="L164" s="194"/>
      <c r="M164" s="194"/>
    </row>
    <row r="165" ht="36.75" customHeight="1">
      <c r="D165" s="191"/>
      <c r="I165" s="192"/>
      <c r="L165" s="194"/>
      <c r="M165" s="194"/>
    </row>
    <row r="166" ht="36.75" customHeight="1">
      <c r="D166" s="191"/>
      <c r="I166" s="192"/>
      <c r="L166" s="194"/>
      <c r="M166" s="194"/>
    </row>
    <row r="167" ht="36.75" customHeight="1">
      <c r="D167" s="191"/>
      <c r="I167" s="192"/>
      <c r="L167" s="194"/>
      <c r="M167" s="194"/>
    </row>
    <row r="168" ht="36.75" customHeight="1">
      <c r="D168" s="191"/>
      <c r="I168" s="192"/>
      <c r="L168" s="194"/>
      <c r="M168" s="194"/>
    </row>
    <row r="169" ht="36.75" customHeight="1">
      <c r="D169" s="191"/>
      <c r="I169" s="192"/>
      <c r="L169" s="194"/>
      <c r="M169" s="194"/>
    </row>
    <row r="170" ht="36.75" customHeight="1">
      <c r="D170" s="191"/>
      <c r="I170" s="192"/>
      <c r="L170" s="194"/>
      <c r="M170" s="194"/>
    </row>
    <row r="171" ht="36.75" customHeight="1">
      <c r="D171" s="191"/>
      <c r="I171" s="192"/>
      <c r="L171" s="194"/>
      <c r="M171" s="194"/>
    </row>
    <row r="172" ht="36.75" customHeight="1">
      <c r="D172" s="191"/>
      <c r="I172" s="192"/>
      <c r="L172" s="194"/>
      <c r="M172" s="194"/>
    </row>
    <row r="173" ht="36.75" customHeight="1">
      <c r="D173" s="191"/>
      <c r="I173" s="192"/>
      <c r="L173" s="194"/>
      <c r="M173" s="194"/>
    </row>
    <row r="174" ht="36.75" customHeight="1">
      <c r="D174" s="191"/>
      <c r="I174" s="192"/>
      <c r="L174" s="194"/>
      <c r="M174" s="194"/>
    </row>
    <row r="175" ht="36.75" customHeight="1">
      <c r="D175" s="191"/>
      <c r="I175" s="192"/>
      <c r="L175" s="194"/>
      <c r="M175" s="194"/>
    </row>
    <row r="176" ht="36.75" customHeight="1">
      <c r="D176" s="191"/>
      <c r="I176" s="192"/>
      <c r="L176" s="194"/>
      <c r="M176" s="194"/>
    </row>
    <row r="177" ht="36.75" customHeight="1">
      <c r="D177" s="191"/>
      <c r="I177" s="192"/>
      <c r="L177" s="194"/>
      <c r="M177" s="194"/>
    </row>
    <row r="178" ht="36.75" customHeight="1">
      <c r="D178" s="191"/>
      <c r="I178" s="192"/>
      <c r="L178" s="194"/>
      <c r="M178" s="194"/>
    </row>
    <row r="179" ht="36.75" customHeight="1">
      <c r="D179" s="191"/>
      <c r="I179" s="192"/>
      <c r="L179" s="194"/>
      <c r="M179" s="194"/>
    </row>
    <row r="180" ht="36.75" customHeight="1">
      <c r="D180" s="191"/>
      <c r="I180" s="192"/>
      <c r="L180" s="194"/>
      <c r="M180" s="194"/>
    </row>
    <row r="181" ht="36.75" customHeight="1">
      <c r="D181" s="191"/>
      <c r="I181" s="192"/>
      <c r="L181" s="194"/>
      <c r="M181" s="194"/>
    </row>
    <row r="182" ht="36.75" customHeight="1">
      <c r="D182" s="191"/>
      <c r="I182" s="192"/>
      <c r="L182" s="194"/>
      <c r="M182" s="194"/>
    </row>
    <row r="183" ht="36.75" customHeight="1">
      <c r="D183" s="191"/>
      <c r="I183" s="192"/>
      <c r="L183" s="194"/>
      <c r="M183" s="194"/>
    </row>
    <row r="184" ht="36.75" customHeight="1">
      <c r="D184" s="191"/>
      <c r="I184" s="192"/>
      <c r="L184" s="194"/>
      <c r="M184" s="194"/>
    </row>
    <row r="185" ht="36.75" customHeight="1">
      <c r="D185" s="191"/>
      <c r="I185" s="192"/>
      <c r="L185" s="194"/>
      <c r="M185" s="194"/>
    </row>
    <row r="186" ht="36.75" customHeight="1">
      <c r="D186" s="191"/>
      <c r="I186" s="192"/>
      <c r="L186" s="194"/>
      <c r="M186" s="194"/>
    </row>
    <row r="187" ht="36.75" customHeight="1">
      <c r="D187" s="191"/>
      <c r="I187" s="192"/>
      <c r="L187" s="194"/>
      <c r="M187" s="194"/>
    </row>
    <row r="188" ht="36.75" customHeight="1">
      <c r="D188" s="191"/>
      <c r="I188" s="192"/>
      <c r="L188" s="194"/>
      <c r="M188" s="194"/>
    </row>
    <row r="189" ht="36.75" customHeight="1">
      <c r="D189" s="191"/>
      <c r="I189" s="192"/>
      <c r="L189" s="194"/>
      <c r="M189" s="194"/>
    </row>
    <row r="190" ht="36.75" customHeight="1">
      <c r="D190" s="191"/>
      <c r="I190" s="192"/>
      <c r="L190" s="194"/>
      <c r="M190" s="194"/>
    </row>
    <row r="191" ht="36.75" customHeight="1">
      <c r="D191" s="191"/>
      <c r="I191" s="192"/>
      <c r="L191" s="194"/>
      <c r="M191" s="194"/>
    </row>
    <row r="192" ht="36.75" customHeight="1">
      <c r="D192" s="191"/>
      <c r="I192" s="192"/>
      <c r="L192" s="194"/>
      <c r="M192" s="194"/>
    </row>
    <row r="193" ht="36.75" customHeight="1">
      <c r="D193" s="191"/>
      <c r="I193" s="192"/>
      <c r="L193" s="194"/>
      <c r="M193" s="194"/>
    </row>
    <row r="194" ht="36.75" customHeight="1">
      <c r="D194" s="191"/>
      <c r="I194" s="192"/>
      <c r="L194" s="194"/>
      <c r="M194" s="194"/>
    </row>
    <row r="195" ht="36.75" customHeight="1">
      <c r="D195" s="191"/>
      <c r="I195" s="192"/>
      <c r="L195" s="194"/>
      <c r="M195" s="194"/>
    </row>
    <row r="196" ht="36.75" customHeight="1">
      <c r="D196" s="191"/>
      <c r="I196" s="192"/>
      <c r="L196" s="194"/>
      <c r="M196" s="194"/>
    </row>
    <row r="197" ht="36.75" customHeight="1">
      <c r="D197" s="191"/>
      <c r="I197" s="192"/>
      <c r="L197" s="194"/>
      <c r="M197" s="194"/>
    </row>
    <row r="198" ht="36.75" customHeight="1">
      <c r="D198" s="191"/>
      <c r="I198" s="192"/>
      <c r="L198" s="194"/>
      <c r="M198" s="194"/>
    </row>
    <row r="199" ht="36.75" customHeight="1">
      <c r="D199" s="191"/>
      <c r="I199" s="192"/>
      <c r="L199" s="194"/>
      <c r="M199" s="194"/>
    </row>
    <row r="200" ht="36.75" customHeight="1">
      <c r="D200" s="191"/>
      <c r="I200" s="192"/>
      <c r="L200" s="194"/>
      <c r="M200" s="194"/>
    </row>
    <row r="201" ht="36.75" customHeight="1">
      <c r="D201" s="191"/>
      <c r="I201" s="192"/>
      <c r="L201" s="194"/>
      <c r="M201" s="194"/>
    </row>
    <row r="202" ht="36.75" customHeight="1">
      <c r="D202" s="191"/>
      <c r="I202" s="192"/>
      <c r="L202" s="194"/>
      <c r="M202" s="194"/>
    </row>
    <row r="203" ht="36.75" customHeight="1">
      <c r="D203" s="191"/>
      <c r="I203" s="192"/>
      <c r="L203" s="194"/>
      <c r="M203" s="194"/>
    </row>
    <row r="204" ht="36.75" customHeight="1">
      <c r="D204" s="191"/>
      <c r="I204" s="192"/>
      <c r="L204" s="194"/>
      <c r="M204" s="194"/>
    </row>
    <row r="205" ht="36.75" customHeight="1">
      <c r="D205" s="191"/>
      <c r="I205" s="192"/>
      <c r="L205" s="194"/>
      <c r="M205" s="194"/>
    </row>
    <row r="206" ht="36.75" customHeight="1">
      <c r="D206" s="191"/>
      <c r="I206" s="192"/>
      <c r="L206" s="194"/>
      <c r="M206" s="194"/>
    </row>
    <row r="207" ht="36.75" customHeight="1">
      <c r="D207" s="191"/>
      <c r="I207" s="192"/>
      <c r="L207" s="194"/>
      <c r="M207" s="194"/>
    </row>
    <row r="208" ht="36.75" customHeight="1">
      <c r="D208" s="191"/>
      <c r="I208" s="192"/>
      <c r="L208" s="194"/>
      <c r="M208" s="194"/>
    </row>
    <row r="209" ht="36.75" customHeight="1">
      <c r="D209" s="191"/>
      <c r="I209" s="192"/>
      <c r="L209" s="194"/>
      <c r="M209" s="194"/>
    </row>
    <row r="210" ht="36.75" customHeight="1">
      <c r="D210" s="191"/>
      <c r="I210" s="192"/>
      <c r="L210" s="194"/>
      <c r="M210" s="194"/>
    </row>
    <row r="211" ht="36.75" customHeight="1">
      <c r="D211" s="191"/>
      <c r="I211" s="192"/>
      <c r="L211" s="194"/>
      <c r="M211" s="194"/>
    </row>
    <row r="212" ht="36.75" customHeight="1">
      <c r="D212" s="191"/>
      <c r="I212" s="192"/>
      <c r="L212" s="194"/>
      <c r="M212" s="194"/>
    </row>
    <row r="213" ht="36.75" customHeight="1">
      <c r="D213" s="191"/>
      <c r="I213" s="192"/>
      <c r="L213" s="194"/>
      <c r="M213" s="194"/>
    </row>
    <row r="214" ht="36.75" customHeight="1">
      <c r="D214" s="191"/>
      <c r="I214" s="192"/>
      <c r="L214" s="194"/>
      <c r="M214" s="194"/>
    </row>
    <row r="215" ht="36.75" customHeight="1">
      <c r="D215" s="191"/>
      <c r="I215" s="192"/>
      <c r="L215" s="194"/>
      <c r="M215" s="194"/>
    </row>
    <row r="216" ht="36.75" customHeight="1">
      <c r="D216" s="191"/>
      <c r="I216" s="192"/>
      <c r="L216" s="194"/>
      <c r="M216" s="194"/>
    </row>
    <row r="217" ht="36.75" customHeight="1">
      <c r="D217" s="191"/>
      <c r="I217" s="192"/>
      <c r="L217" s="194"/>
      <c r="M217" s="194"/>
    </row>
    <row r="218" ht="36.75" customHeight="1">
      <c r="D218" s="191"/>
      <c r="I218" s="192"/>
      <c r="L218" s="194"/>
      <c r="M218" s="194"/>
    </row>
    <row r="219" ht="36.75" customHeight="1">
      <c r="D219" s="191"/>
      <c r="I219" s="192"/>
      <c r="L219" s="194"/>
      <c r="M219" s="194"/>
    </row>
    <row r="220" ht="36.75" customHeight="1">
      <c r="D220" s="191"/>
      <c r="I220" s="192"/>
      <c r="L220" s="194"/>
      <c r="M220" s="194"/>
    </row>
    <row r="221" ht="36.75" customHeight="1">
      <c r="D221" s="191"/>
      <c r="I221" s="192"/>
      <c r="L221" s="194"/>
      <c r="M221" s="194"/>
    </row>
    <row r="222" ht="36.75" customHeight="1">
      <c r="D222" s="191"/>
      <c r="I222" s="192"/>
      <c r="L222" s="194"/>
      <c r="M222" s="194"/>
    </row>
    <row r="223" ht="36.75" customHeight="1">
      <c r="D223" s="191"/>
      <c r="I223" s="192"/>
      <c r="L223" s="194"/>
      <c r="M223" s="194"/>
    </row>
    <row r="224" ht="36.75" customHeight="1">
      <c r="D224" s="191"/>
      <c r="I224" s="192"/>
      <c r="L224" s="194"/>
      <c r="M224" s="194"/>
    </row>
    <row r="225" ht="36.75" customHeight="1">
      <c r="D225" s="191"/>
      <c r="I225" s="192"/>
      <c r="L225" s="194"/>
      <c r="M225" s="194"/>
    </row>
    <row r="226" ht="36.75" customHeight="1">
      <c r="D226" s="191"/>
      <c r="I226" s="192"/>
      <c r="L226" s="194"/>
      <c r="M226" s="194"/>
    </row>
    <row r="227" ht="36.75" customHeight="1">
      <c r="D227" s="191"/>
      <c r="I227" s="192"/>
      <c r="L227" s="194"/>
      <c r="M227" s="194"/>
    </row>
    <row r="228" ht="36.75" customHeight="1">
      <c r="D228" s="191"/>
      <c r="I228" s="192"/>
      <c r="L228" s="194"/>
      <c r="M228" s="194"/>
    </row>
    <row r="229" ht="36.75" customHeight="1">
      <c r="D229" s="191"/>
      <c r="I229" s="192"/>
      <c r="L229" s="194"/>
      <c r="M229" s="194"/>
    </row>
    <row r="230" ht="36.75" customHeight="1">
      <c r="D230" s="191"/>
      <c r="I230" s="192"/>
      <c r="L230" s="194"/>
      <c r="M230" s="194"/>
    </row>
    <row r="231" ht="36.75" customHeight="1">
      <c r="D231" s="191"/>
      <c r="I231" s="192"/>
      <c r="L231" s="194"/>
      <c r="M231" s="194"/>
    </row>
    <row r="232" ht="36.75" customHeight="1">
      <c r="D232" s="191"/>
      <c r="I232" s="192"/>
      <c r="L232" s="194"/>
      <c r="M232" s="194"/>
    </row>
    <row r="233" ht="36.75" customHeight="1">
      <c r="D233" s="191"/>
      <c r="I233" s="192"/>
      <c r="L233" s="194"/>
      <c r="M233" s="194"/>
    </row>
    <row r="234" ht="36.75" customHeight="1">
      <c r="D234" s="191"/>
      <c r="I234" s="192"/>
      <c r="L234" s="194"/>
      <c r="M234" s="194"/>
    </row>
    <row r="235" ht="36.75" customHeight="1">
      <c r="D235" s="191"/>
      <c r="I235" s="192"/>
      <c r="L235" s="194"/>
      <c r="M235" s="194"/>
    </row>
    <row r="236" ht="36.75" customHeight="1">
      <c r="D236" s="191"/>
      <c r="I236" s="192"/>
      <c r="L236" s="194"/>
      <c r="M236" s="194"/>
    </row>
    <row r="237" ht="36.75" customHeight="1">
      <c r="D237" s="191"/>
      <c r="I237" s="192"/>
      <c r="L237" s="194"/>
      <c r="M237" s="194"/>
    </row>
    <row r="238" ht="36.75" customHeight="1">
      <c r="D238" s="191"/>
      <c r="I238" s="192"/>
      <c r="L238" s="194"/>
      <c r="M238" s="194"/>
    </row>
    <row r="239" ht="36.75" customHeight="1">
      <c r="D239" s="191"/>
      <c r="I239" s="192"/>
      <c r="L239" s="194"/>
      <c r="M239" s="194"/>
    </row>
    <row r="240" ht="36.75" customHeight="1">
      <c r="D240" s="191"/>
      <c r="I240" s="192"/>
      <c r="L240" s="194"/>
      <c r="M240" s="194"/>
    </row>
    <row r="241" ht="36.75" customHeight="1">
      <c r="D241" s="191"/>
      <c r="I241" s="192"/>
      <c r="L241" s="194"/>
      <c r="M241" s="194"/>
    </row>
    <row r="242" ht="36.75" customHeight="1">
      <c r="D242" s="191"/>
      <c r="I242" s="192"/>
      <c r="L242" s="194"/>
      <c r="M242" s="194"/>
    </row>
    <row r="243" ht="36.75" customHeight="1">
      <c r="D243" s="191"/>
      <c r="I243" s="192"/>
      <c r="L243" s="194"/>
      <c r="M243" s="194"/>
    </row>
    <row r="244" ht="36.75" customHeight="1">
      <c r="D244" s="191"/>
      <c r="I244" s="192"/>
      <c r="L244" s="194"/>
      <c r="M244" s="194"/>
    </row>
    <row r="245" ht="36.75" customHeight="1">
      <c r="D245" s="191"/>
      <c r="I245" s="192"/>
      <c r="L245" s="194"/>
      <c r="M245" s="194"/>
    </row>
    <row r="246" ht="36.75" customHeight="1">
      <c r="D246" s="191"/>
      <c r="I246" s="192"/>
      <c r="L246" s="194"/>
      <c r="M246" s="194"/>
    </row>
    <row r="247" ht="36.75" customHeight="1">
      <c r="D247" s="191"/>
      <c r="I247" s="192"/>
      <c r="L247" s="194"/>
      <c r="M247" s="194"/>
    </row>
    <row r="248" ht="36.75" customHeight="1">
      <c r="D248" s="191"/>
      <c r="I248" s="192"/>
      <c r="L248" s="194"/>
      <c r="M248" s="194"/>
    </row>
    <row r="249" ht="36.75" customHeight="1">
      <c r="D249" s="191"/>
      <c r="I249" s="192"/>
      <c r="L249" s="194"/>
      <c r="M249" s="194"/>
    </row>
    <row r="250" ht="36.75" customHeight="1">
      <c r="D250" s="191"/>
      <c r="I250" s="192"/>
      <c r="L250" s="194"/>
      <c r="M250" s="194"/>
    </row>
    <row r="251" ht="36.75" customHeight="1">
      <c r="D251" s="191"/>
      <c r="I251" s="192"/>
      <c r="L251" s="194"/>
      <c r="M251" s="194"/>
    </row>
    <row r="252" ht="36.75" customHeight="1">
      <c r="D252" s="191"/>
      <c r="I252" s="192"/>
      <c r="L252" s="194"/>
      <c r="M252" s="194"/>
    </row>
    <row r="253" ht="36.75" customHeight="1">
      <c r="D253" s="191"/>
      <c r="I253" s="192"/>
      <c r="L253" s="194"/>
      <c r="M253" s="194"/>
    </row>
    <row r="254" ht="36.75" customHeight="1">
      <c r="D254" s="191"/>
      <c r="I254" s="192"/>
      <c r="L254" s="194"/>
      <c r="M254" s="194"/>
    </row>
    <row r="255" ht="36.75" customHeight="1">
      <c r="D255" s="191"/>
      <c r="I255" s="192"/>
      <c r="L255" s="194"/>
      <c r="M255" s="194"/>
    </row>
    <row r="256" ht="36.75" customHeight="1">
      <c r="D256" s="191"/>
      <c r="I256" s="192"/>
      <c r="L256" s="194"/>
      <c r="M256" s="194"/>
    </row>
    <row r="257" ht="36.75" customHeight="1">
      <c r="D257" s="191"/>
      <c r="I257" s="192"/>
      <c r="L257" s="194"/>
      <c r="M257" s="194"/>
    </row>
    <row r="258" ht="36.75" customHeight="1">
      <c r="D258" s="191"/>
      <c r="I258" s="192"/>
      <c r="L258" s="194"/>
      <c r="M258" s="194"/>
    </row>
    <row r="259" ht="36.75" customHeight="1">
      <c r="D259" s="191"/>
      <c r="I259" s="192"/>
      <c r="L259" s="194"/>
      <c r="M259" s="194"/>
    </row>
    <row r="260" ht="36.75" customHeight="1">
      <c r="D260" s="191"/>
      <c r="I260" s="192"/>
      <c r="L260" s="194"/>
      <c r="M260" s="194"/>
    </row>
    <row r="261" ht="36.75" customHeight="1">
      <c r="D261" s="191"/>
      <c r="I261" s="192"/>
      <c r="L261" s="194"/>
      <c r="M261" s="194"/>
    </row>
    <row r="262" ht="36.75" customHeight="1">
      <c r="D262" s="191"/>
      <c r="I262" s="192"/>
      <c r="L262" s="194"/>
      <c r="M262" s="194"/>
    </row>
    <row r="263" ht="36.75" customHeight="1">
      <c r="D263" s="191"/>
      <c r="I263" s="192"/>
      <c r="L263" s="194"/>
      <c r="M263" s="194"/>
    </row>
    <row r="264" ht="36.75" customHeight="1">
      <c r="D264" s="191"/>
      <c r="I264" s="192"/>
      <c r="L264" s="194"/>
      <c r="M264" s="194"/>
    </row>
    <row r="265" ht="36.75" customHeight="1">
      <c r="D265" s="191"/>
      <c r="I265" s="192"/>
      <c r="L265" s="194"/>
      <c r="M265" s="194"/>
    </row>
    <row r="266" ht="36.75" customHeight="1">
      <c r="D266" s="191"/>
      <c r="I266" s="192"/>
      <c r="L266" s="194"/>
      <c r="M266" s="194"/>
    </row>
    <row r="267" ht="36.75" customHeight="1">
      <c r="D267" s="191"/>
      <c r="I267" s="192"/>
      <c r="L267" s="194"/>
      <c r="M267" s="194"/>
    </row>
    <row r="268" ht="36.75" customHeight="1">
      <c r="D268" s="191"/>
      <c r="I268" s="192"/>
      <c r="L268" s="194"/>
      <c r="M268" s="194"/>
    </row>
    <row r="269" ht="36.75" customHeight="1">
      <c r="D269" s="191"/>
      <c r="I269" s="192"/>
      <c r="L269" s="194"/>
      <c r="M269" s="194"/>
    </row>
    <row r="270" ht="36.75" customHeight="1">
      <c r="D270" s="191"/>
      <c r="I270" s="192"/>
      <c r="L270" s="194"/>
      <c r="M270" s="194"/>
    </row>
    <row r="271" ht="36.75" customHeight="1">
      <c r="D271" s="191"/>
      <c r="I271" s="192"/>
      <c r="L271" s="194"/>
      <c r="M271" s="194"/>
    </row>
    <row r="272" ht="36.75" customHeight="1">
      <c r="D272" s="191"/>
      <c r="I272" s="192"/>
      <c r="L272" s="194"/>
      <c r="M272" s="194"/>
    </row>
    <row r="273" ht="36.75" customHeight="1">
      <c r="D273" s="191"/>
      <c r="I273" s="192"/>
      <c r="L273" s="194"/>
      <c r="M273" s="194"/>
    </row>
    <row r="274" ht="36.75" customHeight="1">
      <c r="D274" s="191"/>
      <c r="I274" s="192"/>
      <c r="L274" s="194"/>
      <c r="M274" s="194"/>
    </row>
    <row r="275" ht="36.75" customHeight="1">
      <c r="D275" s="191"/>
      <c r="I275" s="192"/>
      <c r="L275" s="194"/>
      <c r="M275" s="194"/>
    </row>
    <row r="276" ht="36.75" customHeight="1">
      <c r="D276" s="191"/>
      <c r="I276" s="192"/>
      <c r="L276" s="194"/>
      <c r="M276" s="194"/>
    </row>
    <row r="277" ht="36.75" customHeight="1">
      <c r="D277" s="191"/>
      <c r="I277" s="192"/>
      <c r="L277" s="194"/>
      <c r="M277" s="194"/>
    </row>
    <row r="278" ht="36.75" customHeight="1">
      <c r="D278" s="191"/>
      <c r="I278" s="192"/>
      <c r="L278" s="194"/>
      <c r="M278" s="194"/>
    </row>
    <row r="279" ht="36.75" customHeight="1">
      <c r="D279" s="191"/>
      <c r="I279" s="192"/>
      <c r="L279" s="194"/>
      <c r="M279" s="194"/>
    </row>
    <row r="280" ht="36.75" customHeight="1">
      <c r="D280" s="191"/>
      <c r="I280" s="192"/>
      <c r="L280" s="194"/>
      <c r="M280" s="194"/>
    </row>
    <row r="281" ht="36.75" customHeight="1">
      <c r="D281" s="191"/>
      <c r="I281" s="192"/>
      <c r="L281" s="194"/>
      <c r="M281" s="194"/>
    </row>
    <row r="282" ht="36.75" customHeight="1">
      <c r="D282" s="191"/>
      <c r="I282" s="192"/>
      <c r="L282" s="194"/>
      <c r="M282" s="194"/>
    </row>
    <row r="283" ht="36.75" customHeight="1">
      <c r="D283" s="191"/>
      <c r="I283" s="192"/>
      <c r="L283" s="194"/>
      <c r="M283" s="194"/>
    </row>
    <row r="284" ht="36.75" customHeight="1">
      <c r="D284" s="191"/>
      <c r="I284" s="192"/>
      <c r="L284" s="194"/>
      <c r="M284" s="194"/>
    </row>
    <row r="285" ht="36.75" customHeight="1">
      <c r="D285" s="191"/>
      <c r="I285" s="192"/>
      <c r="L285" s="194"/>
      <c r="M285" s="194"/>
    </row>
    <row r="286" ht="36.75" customHeight="1">
      <c r="D286" s="191"/>
      <c r="I286" s="192"/>
      <c r="L286" s="194"/>
      <c r="M286" s="194"/>
    </row>
    <row r="287" ht="36.75" customHeight="1">
      <c r="D287" s="191"/>
      <c r="I287" s="192"/>
      <c r="L287" s="194"/>
      <c r="M287" s="194"/>
    </row>
    <row r="288" ht="36.75" customHeight="1">
      <c r="D288" s="191"/>
      <c r="I288" s="192"/>
      <c r="L288" s="194"/>
      <c r="M288" s="194"/>
    </row>
    <row r="289" ht="36.75" customHeight="1">
      <c r="D289" s="191"/>
      <c r="I289" s="192"/>
      <c r="L289" s="194"/>
      <c r="M289" s="194"/>
    </row>
    <row r="290" ht="36.75" customHeight="1">
      <c r="D290" s="191"/>
      <c r="I290" s="192"/>
      <c r="L290" s="194"/>
      <c r="M290" s="194"/>
    </row>
    <row r="291" ht="36.75" customHeight="1">
      <c r="D291" s="191"/>
      <c r="I291" s="192"/>
      <c r="L291" s="194"/>
      <c r="M291" s="194"/>
    </row>
    <row r="292" ht="36.75" customHeight="1">
      <c r="D292" s="191"/>
      <c r="I292" s="192"/>
      <c r="L292" s="194"/>
      <c r="M292" s="194"/>
    </row>
    <row r="293" ht="36.75" customHeight="1">
      <c r="D293" s="191"/>
      <c r="I293" s="192"/>
      <c r="L293" s="194"/>
      <c r="M293" s="194"/>
    </row>
    <row r="294" ht="36.75" customHeight="1">
      <c r="D294" s="191"/>
      <c r="I294" s="192"/>
      <c r="L294" s="194"/>
      <c r="M294" s="194"/>
    </row>
    <row r="295" ht="36.75" customHeight="1">
      <c r="D295" s="191"/>
      <c r="I295" s="192"/>
      <c r="L295" s="194"/>
      <c r="M295" s="194"/>
    </row>
    <row r="296" ht="36.75" customHeight="1">
      <c r="D296" s="191"/>
      <c r="I296" s="192"/>
      <c r="L296" s="194"/>
      <c r="M296" s="194"/>
    </row>
    <row r="297" ht="36.75" customHeight="1">
      <c r="D297" s="191"/>
      <c r="I297" s="192"/>
      <c r="L297" s="194"/>
      <c r="M297" s="194"/>
    </row>
    <row r="298" ht="36.75" customHeight="1">
      <c r="D298" s="191"/>
      <c r="I298" s="192"/>
      <c r="L298" s="194"/>
      <c r="M298" s="194"/>
    </row>
    <row r="299" ht="36.75" customHeight="1">
      <c r="D299" s="191"/>
      <c r="I299" s="192"/>
      <c r="L299" s="194"/>
      <c r="M299" s="194"/>
    </row>
    <row r="300" ht="36.75" customHeight="1">
      <c r="D300" s="191"/>
      <c r="I300" s="192"/>
      <c r="L300" s="194"/>
      <c r="M300" s="194"/>
    </row>
    <row r="301" ht="36.75" customHeight="1">
      <c r="D301" s="191"/>
      <c r="I301" s="192"/>
      <c r="L301" s="194"/>
      <c r="M301" s="194"/>
    </row>
    <row r="302" ht="36.75" customHeight="1">
      <c r="D302" s="191"/>
      <c r="I302" s="192"/>
      <c r="L302" s="194"/>
      <c r="M302" s="194"/>
    </row>
    <row r="303" ht="36.75" customHeight="1">
      <c r="D303" s="191"/>
      <c r="I303" s="192"/>
      <c r="L303" s="194"/>
      <c r="M303" s="194"/>
    </row>
    <row r="304" ht="36.75" customHeight="1">
      <c r="D304" s="191"/>
      <c r="I304" s="192"/>
      <c r="L304" s="194"/>
      <c r="M304" s="194"/>
    </row>
    <row r="305" ht="36.75" customHeight="1">
      <c r="D305" s="191"/>
      <c r="I305" s="192"/>
      <c r="L305" s="194"/>
      <c r="M305" s="194"/>
    </row>
    <row r="306" ht="36.75" customHeight="1">
      <c r="D306" s="191"/>
      <c r="I306" s="192"/>
      <c r="L306" s="194"/>
      <c r="M306" s="194"/>
    </row>
    <row r="307" ht="36.75" customHeight="1">
      <c r="D307" s="191"/>
      <c r="I307" s="192"/>
      <c r="L307" s="194"/>
      <c r="M307" s="194"/>
    </row>
    <row r="308" ht="36.75" customHeight="1">
      <c r="D308" s="191"/>
      <c r="I308" s="192"/>
      <c r="L308" s="194"/>
      <c r="M308" s="194"/>
    </row>
    <row r="309" ht="36.75" customHeight="1">
      <c r="D309" s="191"/>
      <c r="I309" s="192"/>
      <c r="L309" s="194"/>
      <c r="M309" s="194"/>
    </row>
    <row r="310" ht="36.75" customHeight="1">
      <c r="D310" s="191"/>
      <c r="I310" s="192"/>
      <c r="L310" s="194"/>
      <c r="M310" s="194"/>
    </row>
    <row r="311" ht="36.75" customHeight="1">
      <c r="D311" s="191"/>
      <c r="I311" s="192"/>
      <c r="L311" s="194"/>
      <c r="M311" s="194"/>
    </row>
    <row r="312" ht="36.75" customHeight="1">
      <c r="D312" s="191"/>
      <c r="I312" s="192"/>
      <c r="L312" s="194"/>
      <c r="M312" s="194"/>
    </row>
    <row r="313" ht="36.75" customHeight="1">
      <c r="D313" s="191"/>
      <c r="I313" s="192"/>
      <c r="L313" s="194"/>
      <c r="M313" s="194"/>
    </row>
    <row r="314" ht="36.75" customHeight="1">
      <c r="D314" s="191"/>
      <c r="I314" s="192"/>
      <c r="L314" s="194"/>
      <c r="M314" s="194"/>
    </row>
    <row r="315" ht="36.75" customHeight="1">
      <c r="D315" s="191"/>
      <c r="I315" s="192"/>
      <c r="L315" s="194"/>
      <c r="M315" s="194"/>
    </row>
    <row r="316" ht="36.75" customHeight="1">
      <c r="D316" s="191"/>
      <c r="I316" s="192"/>
      <c r="L316" s="194"/>
      <c r="M316" s="194"/>
    </row>
    <row r="317" ht="36.75" customHeight="1">
      <c r="D317" s="191"/>
      <c r="I317" s="192"/>
      <c r="L317" s="194"/>
      <c r="M317" s="194"/>
    </row>
    <row r="318" ht="36.75" customHeight="1">
      <c r="D318" s="191"/>
      <c r="I318" s="192"/>
      <c r="L318" s="194"/>
      <c r="M318" s="194"/>
    </row>
    <row r="319" ht="36.75" customHeight="1">
      <c r="D319" s="191"/>
      <c r="I319" s="192"/>
      <c r="L319" s="194"/>
      <c r="M319" s="194"/>
    </row>
    <row r="320" ht="36.75" customHeight="1">
      <c r="D320" s="191"/>
      <c r="I320" s="192"/>
      <c r="L320" s="194"/>
      <c r="M320" s="194"/>
    </row>
    <row r="321" ht="36.75" customHeight="1">
      <c r="D321" s="191"/>
      <c r="I321" s="192"/>
      <c r="L321" s="194"/>
      <c r="M321" s="194"/>
    </row>
    <row r="322" ht="36.75" customHeight="1">
      <c r="D322" s="191"/>
      <c r="I322" s="192"/>
      <c r="L322" s="194"/>
      <c r="M322" s="194"/>
    </row>
    <row r="323" ht="36.75" customHeight="1">
      <c r="D323" s="191"/>
      <c r="I323" s="192"/>
      <c r="L323" s="194"/>
      <c r="M323" s="194"/>
    </row>
    <row r="324" ht="36.75" customHeight="1">
      <c r="D324" s="191"/>
      <c r="I324" s="192"/>
      <c r="L324" s="194"/>
      <c r="M324" s="194"/>
    </row>
    <row r="325" ht="36.75" customHeight="1">
      <c r="D325" s="191"/>
      <c r="I325" s="192"/>
      <c r="L325" s="194"/>
      <c r="M325" s="194"/>
    </row>
    <row r="326" ht="36.75" customHeight="1">
      <c r="D326" s="191"/>
      <c r="I326" s="192"/>
      <c r="L326" s="194"/>
      <c r="M326" s="194"/>
    </row>
    <row r="327" ht="36.75" customHeight="1">
      <c r="D327" s="191"/>
      <c r="I327" s="192"/>
      <c r="L327" s="194"/>
      <c r="M327" s="194"/>
    </row>
    <row r="328" ht="36.75" customHeight="1">
      <c r="D328" s="191"/>
      <c r="I328" s="192"/>
      <c r="L328" s="194"/>
      <c r="M328" s="194"/>
    </row>
    <row r="329" ht="36.75" customHeight="1">
      <c r="D329" s="191"/>
      <c r="I329" s="192"/>
      <c r="L329" s="194"/>
      <c r="M329" s="194"/>
    </row>
    <row r="330" ht="36.75" customHeight="1">
      <c r="D330" s="191"/>
      <c r="I330" s="192"/>
      <c r="L330" s="194"/>
      <c r="M330" s="194"/>
    </row>
    <row r="331" ht="36.75" customHeight="1">
      <c r="D331" s="191"/>
      <c r="I331" s="192"/>
      <c r="L331" s="194"/>
      <c r="M331" s="194"/>
    </row>
    <row r="332" ht="36.75" customHeight="1">
      <c r="D332" s="191"/>
      <c r="I332" s="192"/>
      <c r="L332" s="194"/>
      <c r="M332" s="194"/>
    </row>
    <row r="333" ht="36.75" customHeight="1">
      <c r="D333" s="191"/>
      <c r="I333" s="192"/>
      <c r="L333" s="194"/>
      <c r="M333" s="194"/>
    </row>
    <row r="334" ht="36.75" customHeight="1">
      <c r="D334" s="191"/>
      <c r="I334" s="192"/>
      <c r="L334" s="194"/>
      <c r="M334" s="194"/>
    </row>
    <row r="335" ht="36.75" customHeight="1">
      <c r="D335" s="191"/>
      <c r="I335" s="192"/>
      <c r="L335" s="194"/>
      <c r="M335" s="194"/>
    </row>
    <row r="336" ht="36.75" customHeight="1">
      <c r="D336" s="191"/>
      <c r="I336" s="192"/>
      <c r="L336" s="194"/>
      <c r="M336" s="194"/>
    </row>
    <row r="337" ht="36.75" customHeight="1">
      <c r="D337" s="191"/>
      <c r="I337" s="192"/>
      <c r="L337" s="194"/>
      <c r="M337" s="194"/>
    </row>
    <row r="338" ht="36.75" customHeight="1">
      <c r="D338" s="191"/>
      <c r="I338" s="192"/>
      <c r="L338" s="194"/>
      <c r="M338" s="194"/>
    </row>
    <row r="339" ht="36.75" customHeight="1">
      <c r="D339" s="191"/>
      <c r="I339" s="192"/>
      <c r="L339" s="194"/>
      <c r="M339" s="194"/>
    </row>
    <row r="340" ht="36.75" customHeight="1">
      <c r="D340" s="191"/>
      <c r="I340" s="192"/>
      <c r="L340" s="194"/>
      <c r="M340" s="194"/>
    </row>
    <row r="341" ht="36.75" customHeight="1">
      <c r="D341" s="191"/>
      <c r="I341" s="192"/>
      <c r="L341" s="194"/>
      <c r="M341" s="194"/>
    </row>
    <row r="342" ht="36.75" customHeight="1">
      <c r="D342" s="191"/>
      <c r="I342" s="192"/>
      <c r="L342" s="194"/>
      <c r="M342" s="194"/>
    </row>
    <row r="343" ht="36.75" customHeight="1">
      <c r="D343" s="191"/>
      <c r="I343" s="192"/>
      <c r="L343" s="194"/>
      <c r="M343" s="194"/>
    </row>
    <row r="344" ht="36.75" customHeight="1">
      <c r="D344" s="191"/>
      <c r="I344" s="192"/>
      <c r="L344" s="194"/>
      <c r="M344" s="194"/>
    </row>
    <row r="345" ht="36.75" customHeight="1">
      <c r="D345" s="191"/>
      <c r="I345" s="192"/>
      <c r="L345" s="194"/>
      <c r="M345" s="194"/>
    </row>
    <row r="346" ht="36.75" customHeight="1">
      <c r="D346" s="191"/>
      <c r="I346" s="192"/>
      <c r="L346" s="194"/>
      <c r="M346" s="194"/>
    </row>
    <row r="347" ht="36.75" customHeight="1">
      <c r="D347" s="191"/>
      <c r="I347" s="192"/>
      <c r="L347" s="194"/>
      <c r="M347" s="194"/>
    </row>
    <row r="348" ht="36.75" customHeight="1">
      <c r="D348" s="191"/>
      <c r="I348" s="192"/>
      <c r="L348" s="194"/>
      <c r="M348" s="194"/>
    </row>
    <row r="349" ht="36.75" customHeight="1">
      <c r="D349" s="191"/>
      <c r="I349" s="192"/>
      <c r="L349" s="194"/>
      <c r="M349" s="194"/>
    </row>
    <row r="350" ht="36.75" customHeight="1">
      <c r="D350" s="191"/>
      <c r="I350" s="192"/>
      <c r="L350" s="194"/>
      <c r="M350" s="194"/>
    </row>
    <row r="351" ht="36.75" customHeight="1">
      <c r="D351" s="191"/>
      <c r="I351" s="192"/>
      <c r="L351" s="194"/>
      <c r="M351" s="194"/>
    </row>
    <row r="352" ht="36.75" customHeight="1">
      <c r="D352" s="191"/>
      <c r="I352" s="192"/>
      <c r="L352" s="194"/>
      <c r="M352" s="194"/>
    </row>
    <row r="353" ht="36.75" customHeight="1">
      <c r="D353" s="191"/>
      <c r="I353" s="192"/>
      <c r="L353" s="194"/>
      <c r="M353" s="194"/>
    </row>
    <row r="354" ht="36.75" customHeight="1">
      <c r="D354" s="191"/>
      <c r="I354" s="192"/>
      <c r="L354" s="194"/>
      <c r="M354" s="194"/>
    </row>
    <row r="355" ht="36.75" customHeight="1">
      <c r="D355" s="191"/>
      <c r="I355" s="192"/>
      <c r="L355" s="194"/>
      <c r="M355" s="194"/>
    </row>
    <row r="356" ht="36.75" customHeight="1">
      <c r="D356" s="191"/>
      <c r="I356" s="192"/>
      <c r="L356" s="194"/>
      <c r="M356" s="194"/>
    </row>
    <row r="357" ht="36.75" customHeight="1">
      <c r="D357" s="191"/>
      <c r="I357" s="192"/>
      <c r="L357" s="194"/>
      <c r="M357" s="194"/>
    </row>
    <row r="358" ht="36.75" customHeight="1">
      <c r="D358" s="191"/>
      <c r="I358" s="192"/>
      <c r="L358" s="194"/>
      <c r="M358" s="194"/>
    </row>
    <row r="359" ht="36.75" customHeight="1">
      <c r="D359" s="191"/>
      <c r="I359" s="192"/>
      <c r="L359" s="194"/>
      <c r="M359" s="194"/>
    </row>
    <row r="360" ht="36.75" customHeight="1">
      <c r="D360" s="191"/>
      <c r="I360" s="192"/>
      <c r="L360" s="194"/>
      <c r="M360" s="194"/>
    </row>
    <row r="361" ht="36.75" customHeight="1">
      <c r="D361" s="191"/>
      <c r="I361" s="192"/>
      <c r="L361" s="194"/>
      <c r="M361" s="194"/>
    </row>
    <row r="362" ht="36.75" customHeight="1">
      <c r="D362" s="191"/>
      <c r="I362" s="192"/>
      <c r="L362" s="194"/>
      <c r="M362" s="194"/>
    </row>
    <row r="363" ht="36.75" customHeight="1">
      <c r="D363" s="191"/>
      <c r="I363" s="192"/>
      <c r="L363" s="194"/>
      <c r="M363" s="194"/>
    </row>
    <row r="364" ht="36.75" customHeight="1">
      <c r="D364" s="191"/>
      <c r="I364" s="192"/>
      <c r="L364" s="194"/>
      <c r="M364" s="194"/>
    </row>
    <row r="365" ht="36.75" customHeight="1">
      <c r="D365" s="191"/>
      <c r="I365" s="192"/>
      <c r="L365" s="194"/>
      <c r="M365" s="194"/>
    </row>
    <row r="366" ht="36.75" customHeight="1">
      <c r="D366" s="191"/>
      <c r="I366" s="192"/>
      <c r="L366" s="194"/>
      <c r="M366" s="194"/>
    </row>
    <row r="367" ht="36.75" customHeight="1">
      <c r="D367" s="191"/>
      <c r="I367" s="192"/>
      <c r="L367" s="194"/>
      <c r="M367" s="194"/>
    </row>
    <row r="368" ht="36.75" customHeight="1">
      <c r="D368" s="191"/>
      <c r="I368" s="192"/>
      <c r="L368" s="194"/>
      <c r="M368" s="194"/>
    </row>
    <row r="369" ht="36.75" customHeight="1">
      <c r="D369" s="191"/>
      <c r="I369" s="192"/>
      <c r="L369" s="194"/>
      <c r="M369" s="194"/>
    </row>
    <row r="370" ht="36.75" customHeight="1">
      <c r="D370" s="191"/>
      <c r="I370" s="192"/>
      <c r="L370" s="194"/>
      <c r="M370" s="194"/>
    </row>
    <row r="371" ht="36.75" customHeight="1">
      <c r="D371" s="191"/>
      <c r="I371" s="192"/>
      <c r="L371" s="194"/>
      <c r="M371" s="194"/>
    </row>
    <row r="372" ht="36.75" customHeight="1">
      <c r="D372" s="191"/>
      <c r="I372" s="192"/>
      <c r="L372" s="194"/>
      <c r="M372" s="194"/>
    </row>
    <row r="373" ht="36.75" customHeight="1">
      <c r="D373" s="191"/>
      <c r="I373" s="192"/>
      <c r="L373" s="194"/>
      <c r="M373" s="194"/>
    </row>
    <row r="374" ht="36.75" customHeight="1">
      <c r="D374" s="191"/>
      <c r="I374" s="192"/>
      <c r="L374" s="194"/>
      <c r="M374" s="194"/>
    </row>
    <row r="375" ht="36.75" customHeight="1">
      <c r="D375" s="191"/>
      <c r="I375" s="192"/>
      <c r="L375" s="194"/>
      <c r="M375" s="194"/>
    </row>
    <row r="376" ht="36.75" customHeight="1">
      <c r="D376" s="191"/>
      <c r="I376" s="192"/>
      <c r="L376" s="194"/>
      <c r="M376" s="194"/>
    </row>
    <row r="377" ht="36.75" customHeight="1">
      <c r="D377" s="191"/>
      <c r="I377" s="192"/>
      <c r="L377" s="194"/>
      <c r="M377" s="194"/>
    </row>
    <row r="378" ht="36.75" customHeight="1">
      <c r="D378" s="191"/>
      <c r="I378" s="192"/>
      <c r="L378" s="194"/>
      <c r="M378" s="194"/>
    </row>
    <row r="379" ht="36.75" customHeight="1">
      <c r="D379" s="191"/>
      <c r="I379" s="192"/>
      <c r="L379" s="194"/>
      <c r="M379" s="194"/>
    </row>
    <row r="380" ht="36.75" customHeight="1">
      <c r="D380" s="191"/>
      <c r="I380" s="192"/>
      <c r="L380" s="194"/>
      <c r="M380" s="194"/>
    </row>
    <row r="381" ht="36.75" customHeight="1">
      <c r="D381" s="191"/>
      <c r="I381" s="192"/>
      <c r="L381" s="194"/>
      <c r="M381" s="194"/>
    </row>
    <row r="382" ht="36.75" customHeight="1">
      <c r="D382" s="191"/>
      <c r="I382" s="192"/>
      <c r="L382" s="194"/>
      <c r="M382" s="194"/>
    </row>
    <row r="383" ht="36.75" customHeight="1">
      <c r="D383" s="191"/>
      <c r="I383" s="192"/>
      <c r="L383" s="194"/>
      <c r="M383" s="194"/>
    </row>
    <row r="384" ht="36.75" customHeight="1">
      <c r="D384" s="191"/>
      <c r="I384" s="192"/>
      <c r="L384" s="194"/>
      <c r="M384" s="194"/>
    </row>
    <row r="385" ht="36.75" customHeight="1">
      <c r="D385" s="191"/>
      <c r="I385" s="192"/>
      <c r="L385" s="194"/>
      <c r="M385" s="194"/>
    </row>
    <row r="386" ht="36.75" customHeight="1">
      <c r="D386" s="191"/>
      <c r="I386" s="192"/>
      <c r="L386" s="194"/>
      <c r="M386" s="194"/>
    </row>
    <row r="387" ht="36.75" customHeight="1">
      <c r="D387" s="191"/>
      <c r="I387" s="192"/>
      <c r="L387" s="194"/>
      <c r="M387" s="194"/>
    </row>
    <row r="388" ht="36.75" customHeight="1">
      <c r="D388" s="191"/>
      <c r="I388" s="192"/>
      <c r="L388" s="194"/>
      <c r="M388" s="194"/>
    </row>
    <row r="389" ht="36.75" customHeight="1">
      <c r="D389" s="191"/>
      <c r="I389" s="192"/>
      <c r="L389" s="194"/>
      <c r="M389" s="194"/>
    </row>
    <row r="390" ht="36.75" customHeight="1">
      <c r="D390" s="191"/>
      <c r="I390" s="192"/>
      <c r="L390" s="194"/>
      <c r="M390" s="194"/>
    </row>
    <row r="391" ht="36.75" customHeight="1">
      <c r="D391" s="191"/>
      <c r="I391" s="192"/>
      <c r="L391" s="194"/>
      <c r="M391" s="194"/>
    </row>
    <row r="392" ht="36.75" customHeight="1">
      <c r="D392" s="191"/>
      <c r="I392" s="192"/>
      <c r="L392" s="194"/>
      <c r="M392" s="194"/>
    </row>
    <row r="393" ht="36.75" customHeight="1">
      <c r="D393" s="191"/>
      <c r="I393" s="192"/>
      <c r="L393" s="194"/>
      <c r="M393" s="194"/>
    </row>
    <row r="394" ht="36.75" customHeight="1">
      <c r="D394" s="191"/>
      <c r="I394" s="192"/>
      <c r="L394" s="194"/>
      <c r="M394" s="194"/>
    </row>
    <row r="395" ht="36.75" customHeight="1">
      <c r="D395" s="191"/>
      <c r="I395" s="192"/>
      <c r="L395" s="194"/>
      <c r="M395" s="194"/>
    </row>
    <row r="396" ht="36.75" customHeight="1">
      <c r="D396" s="191"/>
      <c r="I396" s="192"/>
      <c r="L396" s="194"/>
      <c r="M396" s="194"/>
    </row>
    <row r="397" ht="36.75" customHeight="1">
      <c r="D397" s="191"/>
      <c r="I397" s="192"/>
      <c r="L397" s="194"/>
      <c r="M397" s="194"/>
    </row>
    <row r="398" ht="36.75" customHeight="1">
      <c r="D398" s="191"/>
      <c r="I398" s="192"/>
      <c r="L398" s="194"/>
      <c r="M398" s="194"/>
    </row>
    <row r="399" ht="36.75" customHeight="1">
      <c r="D399" s="191"/>
      <c r="I399" s="192"/>
      <c r="L399" s="194"/>
      <c r="M399" s="194"/>
    </row>
    <row r="400" ht="36.75" customHeight="1">
      <c r="D400" s="191"/>
      <c r="I400" s="192"/>
      <c r="L400" s="194"/>
      <c r="M400" s="194"/>
    </row>
    <row r="401" ht="36.75" customHeight="1">
      <c r="D401" s="191"/>
      <c r="I401" s="192"/>
      <c r="L401" s="194"/>
      <c r="M401" s="194"/>
    </row>
    <row r="402" ht="36.75" customHeight="1">
      <c r="D402" s="191"/>
      <c r="I402" s="192"/>
      <c r="L402" s="194"/>
      <c r="M402" s="194"/>
    </row>
    <row r="403" ht="36.75" customHeight="1">
      <c r="D403" s="191"/>
      <c r="I403" s="192"/>
      <c r="L403" s="194"/>
      <c r="M403" s="194"/>
    </row>
    <row r="404" ht="36.75" customHeight="1">
      <c r="D404" s="191"/>
      <c r="I404" s="192"/>
      <c r="L404" s="194"/>
      <c r="M404" s="194"/>
    </row>
    <row r="405" ht="36.75" customHeight="1">
      <c r="D405" s="191"/>
      <c r="I405" s="192"/>
      <c r="L405" s="194"/>
      <c r="M405" s="194"/>
    </row>
    <row r="406" ht="36.75" customHeight="1">
      <c r="D406" s="191"/>
      <c r="I406" s="192"/>
      <c r="L406" s="194"/>
      <c r="M406" s="194"/>
    </row>
    <row r="407" ht="36.75" customHeight="1">
      <c r="D407" s="191"/>
      <c r="I407" s="192"/>
      <c r="L407" s="194"/>
      <c r="M407" s="194"/>
    </row>
    <row r="408" ht="36.75" customHeight="1">
      <c r="D408" s="191"/>
      <c r="I408" s="192"/>
      <c r="L408" s="194"/>
      <c r="M408" s="194"/>
    </row>
    <row r="409" ht="36.75" customHeight="1">
      <c r="D409" s="191"/>
      <c r="I409" s="192"/>
      <c r="L409" s="194"/>
      <c r="M409" s="194"/>
    </row>
    <row r="410" ht="36.75" customHeight="1">
      <c r="D410" s="191"/>
      <c r="I410" s="192"/>
      <c r="L410" s="194"/>
      <c r="M410" s="194"/>
    </row>
    <row r="411" ht="36.75" customHeight="1">
      <c r="D411" s="191"/>
      <c r="I411" s="192"/>
      <c r="L411" s="194"/>
      <c r="M411" s="194"/>
    </row>
    <row r="412" ht="36.75" customHeight="1">
      <c r="D412" s="191"/>
      <c r="I412" s="192"/>
      <c r="L412" s="194"/>
      <c r="M412" s="194"/>
    </row>
    <row r="413" ht="36.75" customHeight="1">
      <c r="D413" s="191"/>
      <c r="I413" s="192"/>
      <c r="L413" s="194"/>
      <c r="M413" s="194"/>
    </row>
    <row r="414" ht="36.75" customHeight="1">
      <c r="D414" s="191"/>
      <c r="I414" s="192"/>
      <c r="L414" s="194"/>
      <c r="M414" s="194"/>
    </row>
    <row r="415" ht="36.75" customHeight="1">
      <c r="D415" s="191"/>
      <c r="I415" s="192"/>
      <c r="L415" s="194"/>
      <c r="M415" s="194"/>
    </row>
    <row r="416" ht="36.75" customHeight="1">
      <c r="D416" s="191"/>
      <c r="I416" s="192"/>
      <c r="L416" s="194"/>
      <c r="M416" s="194"/>
    </row>
    <row r="417" ht="36.75" customHeight="1">
      <c r="D417" s="191"/>
      <c r="I417" s="192"/>
      <c r="L417" s="194"/>
      <c r="M417" s="194"/>
    </row>
    <row r="418" ht="36.75" customHeight="1">
      <c r="D418" s="191"/>
      <c r="I418" s="192"/>
      <c r="L418" s="194"/>
      <c r="M418" s="194"/>
    </row>
    <row r="419" ht="36.75" customHeight="1">
      <c r="D419" s="191"/>
      <c r="I419" s="192"/>
      <c r="L419" s="194"/>
      <c r="M419" s="194"/>
    </row>
    <row r="420" ht="36.75" customHeight="1">
      <c r="D420" s="191"/>
      <c r="I420" s="192"/>
      <c r="L420" s="194"/>
      <c r="M420" s="194"/>
    </row>
    <row r="421" ht="36.75" customHeight="1">
      <c r="D421" s="191"/>
      <c r="I421" s="192"/>
      <c r="L421" s="194"/>
      <c r="M421" s="194"/>
    </row>
    <row r="422" ht="36.75" customHeight="1">
      <c r="D422" s="191"/>
      <c r="I422" s="192"/>
      <c r="L422" s="194"/>
      <c r="M422" s="194"/>
    </row>
    <row r="423" ht="36.75" customHeight="1">
      <c r="D423" s="191"/>
      <c r="I423" s="192"/>
      <c r="L423" s="194"/>
      <c r="M423" s="194"/>
    </row>
    <row r="424" ht="36.75" customHeight="1">
      <c r="D424" s="191"/>
      <c r="I424" s="192"/>
      <c r="L424" s="194"/>
      <c r="M424" s="194"/>
    </row>
    <row r="425" ht="36.75" customHeight="1">
      <c r="D425" s="191"/>
      <c r="I425" s="192"/>
      <c r="L425" s="194"/>
      <c r="M425" s="194"/>
    </row>
    <row r="426" ht="36.75" customHeight="1">
      <c r="D426" s="191"/>
      <c r="I426" s="192"/>
      <c r="L426" s="194"/>
      <c r="M426" s="194"/>
    </row>
    <row r="427" ht="36.75" customHeight="1">
      <c r="D427" s="191"/>
      <c r="I427" s="192"/>
      <c r="L427" s="194"/>
      <c r="M427" s="194"/>
    </row>
    <row r="428" ht="36.75" customHeight="1">
      <c r="D428" s="191"/>
      <c r="I428" s="192"/>
      <c r="L428" s="194"/>
      <c r="M428" s="194"/>
    </row>
    <row r="429" ht="36.75" customHeight="1">
      <c r="D429" s="191"/>
      <c r="I429" s="192"/>
      <c r="L429" s="194"/>
      <c r="M429" s="194"/>
    </row>
    <row r="430" ht="36.75" customHeight="1">
      <c r="D430" s="191"/>
      <c r="I430" s="192"/>
      <c r="L430" s="194"/>
      <c r="M430" s="194"/>
    </row>
    <row r="431" ht="36.75" customHeight="1">
      <c r="D431" s="191"/>
      <c r="I431" s="192"/>
      <c r="L431" s="194"/>
      <c r="M431" s="194"/>
    </row>
    <row r="432" ht="36.75" customHeight="1">
      <c r="D432" s="191"/>
      <c r="I432" s="192"/>
      <c r="L432" s="194"/>
      <c r="M432" s="194"/>
    </row>
    <row r="433" ht="36.75" customHeight="1">
      <c r="D433" s="191"/>
      <c r="I433" s="192"/>
      <c r="L433" s="194"/>
      <c r="M433" s="194"/>
    </row>
    <row r="434" ht="36.75" customHeight="1">
      <c r="D434" s="191"/>
      <c r="I434" s="192"/>
      <c r="L434" s="194"/>
      <c r="M434" s="194"/>
    </row>
    <row r="435" ht="36.75" customHeight="1">
      <c r="D435" s="191"/>
      <c r="I435" s="192"/>
      <c r="L435" s="194"/>
      <c r="M435" s="194"/>
    </row>
    <row r="436" ht="36.75" customHeight="1">
      <c r="D436" s="191"/>
      <c r="I436" s="192"/>
      <c r="L436" s="194"/>
      <c r="M436" s="194"/>
    </row>
    <row r="437" ht="36.75" customHeight="1">
      <c r="D437" s="191"/>
      <c r="I437" s="192"/>
      <c r="L437" s="194"/>
      <c r="M437" s="194"/>
    </row>
    <row r="438" ht="36.75" customHeight="1">
      <c r="D438" s="191"/>
      <c r="I438" s="192"/>
      <c r="L438" s="194"/>
      <c r="M438" s="194"/>
    </row>
    <row r="439" ht="36.75" customHeight="1">
      <c r="D439" s="191"/>
      <c r="I439" s="192"/>
      <c r="L439" s="194"/>
      <c r="M439" s="194"/>
    </row>
    <row r="440" ht="36.75" customHeight="1">
      <c r="D440" s="191"/>
      <c r="I440" s="192"/>
      <c r="L440" s="194"/>
      <c r="M440" s="194"/>
    </row>
    <row r="441" ht="36.75" customHeight="1">
      <c r="D441" s="191"/>
      <c r="I441" s="192"/>
      <c r="L441" s="194"/>
      <c r="M441" s="194"/>
    </row>
    <row r="442" ht="36.75" customHeight="1">
      <c r="D442" s="191"/>
      <c r="I442" s="192"/>
      <c r="L442" s="194"/>
      <c r="M442" s="194"/>
    </row>
    <row r="443" ht="36.75" customHeight="1">
      <c r="D443" s="191"/>
      <c r="I443" s="192"/>
      <c r="L443" s="194"/>
      <c r="M443" s="194"/>
    </row>
    <row r="444" ht="36.75" customHeight="1">
      <c r="D444" s="191"/>
      <c r="I444" s="192"/>
      <c r="L444" s="194"/>
      <c r="M444" s="194"/>
    </row>
    <row r="445" ht="36.75" customHeight="1">
      <c r="D445" s="191"/>
      <c r="I445" s="192"/>
      <c r="L445" s="194"/>
      <c r="M445" s="194"/>
    </row>
    <row r="446" ht="36.75" customHeight="1">
      <c r="D446" s="191"/>
      <c r="I446" s="192"/>
      <c r="L446" s="194"/>
      <c r="M446" s="194"/>
    </row>
    <row r="447" ht="36.75" customHeight="1">
      <c r="D447" s="191"/>
      <c r="I447" s="192"/>
      <c r="L447" s="194"/>
      <c r="M447" s="194"/>
    </row>
    <row r="448" ht="36.75" customHeight="1">
      <c r="D448" s="191"/>
      <c r="I448" s="192"/>
      <c r="L448" s="194"/>
      <c r="M448" s="194"/>
    </row>
    <row r="449" ht="36.75" customHeight="1">
      <c r="D449" s="191"/>
      <c r="I449" s="192"/>
      <c r="L449" s="194"/>
      <c r="M449" s="194"/>
    </row>
    <row r="450" ht="36.75" customHeight="1">
      <c r="D450" s="191"/>
      <c r="I450" s="192"/>
      <c r="L450" s="194"/>
      <c r="M450" s="194"/>
    </row>
    <row r="451" ht="36.75" customHeight="1">
      <c r="D451" s="191"/>
      <c r="I451" s="192"/>
      <c r="L451" s="194"/>
      <c r="M451" s="194"/>
    </row>
    <row r="452" ht="36.75" customHeight="1">
      <c r="D452" s="191"/>
      <c r="I452" s="192"/>
      <c r="L452" s="194"/>
      <c r="M452" s="194"/>
    </row>
    <row r="453" ht="36.75" customHeight="1">
      <c r="D453" s="191"/>
      <c r="I453" s="192"/>
      <c r="L453" s="194"/>
      <c r="M453" s="194"/>
    </row>
    <row r="454" ht="36.75" customHeight="1">
      <c r="D454" s="191"/>
      <c r="I454" s="192"/>
      <c r="L454" s="194"/>
      <c r="M454" s="194"/>
    </row>
    <row r="455" ht="36.75" customHeight="1">
      <c r="D455" s="191"/>
      <c r="I455" s="192"/>
      <c r="L455" s="194"/>
      <c r="M455" s="194"/>
    </row>
    <row r="456" ht="36.75" customHeight="1">
      <c r="D456" s="191"/>
      <c r="I456" s="192"/>
      <c r="L456" s="194"/>
      <c r="M456" s="194"/>
    </row>
    <row r="457" ht="36.75" customHeight="1">
      <c r="D457" s="191"/>
      <c r="I457" s="192"/>
      <c r="L457" s="194"/>
      <c r="M457" s="194"/>
    </row>
    <row r="458" ht="36.75" customHeight="1">
      <c r="D458" s="191"/>
      <c r="I458" s="192"/>
      <c r="L458" s="194"/>
      <c r="M458" s="194"/>
    </row>
    <row r="459" ht="36.75" customHeight="1">
      <c r="D459" s="191"/>
      <c r="I459" s="192"/>
      <c r="L459" s="194"/>
      <c r="M459" s="194"/>
    </row>
    <row r="460" ht="36.75" customHeight="1">
      <c r="D460" s="191"/>
      <c r="I460" s="192"/>
      <c r="L460" s="194"/>
      <c r="M460" s="194"/>
    </row>
    <row r="461" ht="36.75" customHeight="1">
      <c r="D461" s="191"/>
      <c r="I461" s="192"/>
      <c r="L461" s="194"/>
      <c r="M461" s="194"/>
    </row>
    <row r="462" ht="36.75" customHeight="1">
      <c r="D462" s="191"/>
      <c r="I462" s="192"/>
      <c r="L462" s="194"/>
      <c r="M462" s="194"/>
    </row>
    <row r="463" ht="36.75" customHeight="1">
      <c r="D463" s="191"/>
      <c r="I463" s="192"/>
      <c r="L463" s="194"/>
      <c r="M463" s="194"/>
    </row>
    <row r="464" ht="36.75" customHeight="1">
      <c r="D464" s="191"/>
      <c r="I464" s="192"/>
      <c r="L464" s="194"/>
      <c r="M464" s="194"/>
    </row>
    <row r="465" ht="36.75" customHeight="1">
      <c r="D465" s="191"/>
      <c r="I465" s="192"/>
      <c r="L465" s="194"/>
      <c r="M465" s="194"/>
    </row>
    <row r="466" ht="36.75" customHeight="1">
      <c r="D466" s="191"/>
      <c r="I466" s="192"/>
      <c r="L466" s="194"/>
      <c r="M466" s="194"/>
    </row>
    <row r="467" ht="36.75" customHeight="1">
      <c r="D467" s="191"/>
      <c r="I467" s="192"/>
      <c r="L467" s="194"/>
      <c r="M467" s="194"/>
    </row>
    <row r="468" ht="36.75" customHeight="1">
      <c r="D468" s="191"/>
      <c r="I468" s="192"/>
      <c r="L468" s="194"/>
      <c r="M468" s="194"/>
    </row>
    <row r="469" ht="36.75" customHeight="1">
      <c r="D469" s="191"/>
      <c r="I469" s="192"/>
      <c r="L469" s="194"/>
      <c r="M469" s="194"/>
    </row>
    <row r="470" ht="36.75" customHeight="1">
      <c r="D470" s="191"/>
      <c r="I470" s="192"/>
      <c r="L470" s="194"/>
      <c r="M470" s="194"/>
    </row>
    <row r="471" ht="36.75" customHeight="1">
      <c r="D471" s="191"/>
      <c r="I471" s="192"/>
      <c r="L471" s="194"/>
      <c r="M471" s="194"/>
    </row>
    <row r="472" ht="36.75" customHeight="1">
      <c r="D472" s="191"/>
      <c r="I472" s="192"/>
      <c r="L472" s="194"/>
      <c r="M472" s="194"/>
    </row>
    <row r="473" ht="36.75" customHeight="1">
      <c r="D473" s="191"/>
      <c r="I473" s="192"/>
      <c r="L473" s="194"/>
      <c r="M473" s="194"/>
    </row>
    <row r="474" ht="36.75" customHeight="1">
      <c r="D474" s="191"/>
      <c r="I474" s="192"/>
      <c r="L474" s="194"/>
      <c r="M474" s="194"/>
    </row>
    <row r="475" ht="36.75" customHeight="1">
      <c r="D475" s="191"/>
      <c r="I475" s="192"/>
      <c r="L475" s="194"/>
      <c r="M475" s="194"/>
    </row>
    <row r="476" ht="36.75" customHeight="1">
      <c r="D476" s="191"/>
      <c r="I476" s="192"/>
      <c r="L476" s="194"/>
      <c r="M476" s="194"/>
    </row>
    <row r="477" ht="36.75" customHeight="1">
      <c r="D477" s="191"/>
      <c r="I477" s="192"/>
      <c r="L477" s="194"/>
      <c r="M477" s="194"/>
    </row>
    <row r="478" ht="36.75" customHeight="1">
      <c r="D478" s="191"/>
      <c r="I478" s="192"/>
      <c r="L478" s="194"/>
      <c r="M478" s="194"/>
    </row>
    <row r="479" ht="36.75" customHeight="1">
      <c r="D479" s="191"/>
      <c r="I479" s="192"/>
      <c r="L479" s="194"/>
      <c r="M479" s="194"/>
    </row>
    <row r="480" ht="36.75" customHeight="1">
      <c r="D480" s="191"/>
      <c r="I480" s="192"/>
      <c r="L480" s="194"/>
      <c r="M480" s="194"/>
    </row>
    <row r="481" ht="36.75" customHeight="1">
      <c r="D481" s="191"/>
      <c r="I481" s="192"/>
      <c r="L481" s="194"/>
      <c r="M481" s="194"/>
    </row>
    <row r="482" ht="36.75" customHeight="1">
      <c r="D482" s="191"/>
      <c r="I482" s="192"/>
      <c r="L482" s="194"/>
      <c r="M482" s="194"/>
    </row>
    <row r="483" ht="36.75" customHeight="1">
      <c r="D483" s="191"/>
      <c r="I483" s="192"/>
      <c r="L483" s="194"/>
      <c r="M483" s="194"/>
    </row>
    <row r="484" ht="36.75" customHeight="1">
      <c r="D484" s="191"/>
      <c r="I484" s="192"/>
      <c r="L484" s="194"/>
      <c r="M484" s="194"/>
    </row>
    <row r="485" ht="36.75" customHeight="1">
      <c r="D485" s="191"/>
      <c r="I485" s="192"/>
      <c r="L485" s="194"/>
      <c r="M485" s="194"/>
    </row>
    <row r="486" ht="36.75" customHeight="1">
      <c r="D486" s="191"/>
      <c r="I486" s="192"/>
      <c r="L486" s="194"/>
      <c r="M486" s="194"/>
    </row>
    <row r="487" ht="36.75" customHeight="1">
      <c r="D487" s="191"/>
      <c r="I487" s="192"/>
      <c r="L487" s="194"/>
      <c r="M487" s="194"/>
    </row>
    <row r="488" ht="36.75" customHeight="1">
      <c r="D488" s="191"/>
      <c r="I488" s="192"/>
      <c r="L488" s="194"/>
      <c r="M488" s="194"/>
    </row>
    <row r="489" ht="36.75" customHeight="1">
      <c r="D489" s="191"/>
      <c r="I489" s="192"/>
      <c r="L489" s="194"/>
      <c r="M489" s="194"/>
    </row>
    <row r="490" ht="36.75" customHeight="1">
      <c r="D490" s="191"/>
      <c r="I490" s="192"/>
      <c r="L490" s="194"/>
      <c r="M490" s="194"/>
    </row>
    <row r="491" ht="36.75" customHeight="1">
      <c r="D491" s="191"/>
      <c r="I491" s="192"/>
      <c r="L491" s="194"/>
      <c r="M491" s="194"/>
    </row>
    <row r="492" ht="36.75" customHeight="1">
      <c r="D492" s="191"/>
      <c r="I492" s="192"/>
      <c r="L492" s="194"/>
      <c r="M492" s="194"/>
    </row>
    <row r="493" ht="36.75" customHeight="1">
      <c r="D493" s="191"/>
      <c r="I493" s="192"/>
      <c r="L493" s="194"/>
      <c r="M493" s="194"/>
    </row>
    <row r="494" ht="36.75" customHeight="1">
      <c r="D494" s="191"/>
      <c r="I494" s="192"/>
      <c r="L494" s="194"/>
      <c r="M494" s="194"/>
    </row>
    <row r="495" ht="36.75" customHeight="1">
      <c r="D495" s="191"/>
      <c r="I495" s="192"/>
      <c r="L495" s="194"/>
      <c r="M495" s="194"/>
    </row>
    <row r="496" ht="36.75" customHeight="1">
      <c r="D496" s="191"/>
      <c r="I496" s="192"/>
      <c r="L496" s="194"/>
      <c r="M496" s="194"/>
    </row>
    <row r="497" ht="36.75" customHeight="1">
      <c r="D497" s="191"/>
      <c r="I497" s="192"/>
      <c r="L497" s="194"/>
      <c r="M497" s="194"/>
    </row>
    <row r="498" ht="36.75" customHeight="1">
      <c r="D498" s="191"/>
      <c r="I498" s="192"/>
      <c r="L498" s="194"/>
      <c r="M498" s="194"/>
    </row>
    <row r="499" ht="36.75" customHeight="1">
      <c r="D499" s="191"/>
      <c r="I499" s="192"/>
      <c r="L499" s="194"/>
      <c r="M499" s="194"/>
    </row>
    <row r="500" ht="36.75" customHeight="1">
      <c r="D500" s="191"/>
      <c r="I500" s="192"/>
      <c r="L500" s="194"/>
      <c r="M500" s="194"/>
    </row>
    <row r="501" ht="36.75" customHeight="1">
      <c r="D501" s="191"/>
      <c r="I501" s="192"/>
      <c r="L501" s="194"/>
      <c r="M501" s="194"/>
    </row>
    <row r="502" ht="36.75" customHeight="1">
      <c r="D502" s="191"/>
      <c r="I502" s="192"/>
      <c r="L502" s="194"/>
      <c r="M502" s="194"/>
    </row>
    <row r="503" ht="36.75" customHeight="1">
      <c r="D503" s="191"/>
      <c r="I503" s="192"/>
      <c r="L503" s="194"/>
      <c r="M503" s="194"/>
    </row>
    <row r="504" ht="36.75" customHeight="1">
      <c r="D504" s="191"/>
      <c r="I504" s="192"/>
      <c r="L504" s="194"/>
      <c r="M504" s="194"/>
    </row>
    <row r="505" ht="36.75" customHeight="1">
      <c r="D505" s="191"/>
      <c r="I505" s="192"/>
      <c r="L505" s="194"/>
      <c r="M505" s="194"/>
    </row>
    <row r="506" ht="36.75" customHeight="1">
      <c r="D506" s="191"/>
      <c r="I506" s="192"/>
      <c r="L506" s="194"/>
      <c r="M506" s="194"/>
    </row>
    <row r="507" ht="36.75" customHeight="1">
      <c r="D507" s="191"/>
      <c r="I507" s="192"/>
      <c r="L507" s="194"/>
      <c r="M507" s="194"/>
    </row>
    <row r="508" ht="36.75" customHeight="1">
      <c r="D508" s="191"/>
      <c r="I508" s="192"/>
      <c r="L508" s="194"/>
      <c r="M508" s="194"/>
    </row>
    <row r="509" ht="36.75" customHeight="1">
      <c r="D509" s="191"/>
      <c r="I509" s="192"/>
      <c r="L509" s="194"/>
      <c r="M509" s="194"/>
    </row>
    <row r="510" ht="36.75" customHeight="1">
      <c r="D510" s="191"/>
      <c r="I510" s="192"/>
      <c r="L510" s="194"/>
      <c r="M510" s="194"/>
    </row>
    <row r="511" ht="36.75" customHeight="1">
      <c r="D511" s="191"/>
      <c r="I511" s="192"/>
      <c r="L511" s="194"/>
      <c r="M511" s="194"/>
    </row>
    <row r="512" ht="36.75" customHeight="1">
      <c r="D512" s="191"/>
      <c r="I512" s="192"/>
      <c r="L512" s="194"/>
      <c r="M512" s="194"/>
    </row>
    <row r="513" ht="36.75" customHeight="1">
      <c r="D513" s="191"/>
      <c r="I513" s="192"/>
      <c r="L513" s="194"/>
      <c r="M513" s="194"/>
    </row>
    <row r="514" ht="36.75" customHeight="1">
      <c r="D514" s="191"/>
      <c r="I514" s="192"/>
      <c r="L514" s="194"/>
      <c r="M514" s="194"/>
    </row>
    <row r="515" ht="36.75" customHeight="1">
      <c r="D515" s="191"/>
      <c r="I515" s="192"/>
      <c r="L515" s="194"/>
      <c r="M515" s="194"/>
    </row>
    <row r="516" ht="36.75" customHeight="1">
      <c r="D516" s="191"/>
      <c r="I516" s="192"/>
      <c r="L516" s="194"/>
      <c r="M516" s="194"/>
    </row>
    <row r="517" ht="36.75" customHeight="1">
      <c r="D517" s="191"/>
      <c r="I517" s="192"/>
      <c r="L517" s="194"/>
      <c r="M517" s="194"/>
    </row>
    <row r="518" ht="36.75" customHeight="1">
      <c r="D518" s="191"/>
      <c r="I518" s="192"/>
      <c r="L518" s="194"/>
      <c r="M518" s="194"/>
    </row>
    <row r="519" ht="36.75" customHeight="1">
      <c r="D519" s="191"/>
      <c r="I519" s="192"/>
      <c r="L519" s="194"/>
      <c r="M519" s="194"/>
    </row>
    <row r="520" ht="36.75" customHeight="1">
      <c r="D520" s="191"/>
      <c r="I520" s="192"/>
      <c r="L520" s="194"/>
      <c r="M520" s="194"/>
    </row>
    <row r="521" ht="36.75" customHeight="1">
      <c r="D521" s="191"/>
      <c r="I521" s="192"/>
      <c r="L521" s="194"/>
      <c r="M521" s="194"/>
    </row>
    <row r="522" ht="36.75" customHeight="1">
      <c r="D522" s="191"/>
      <c r="I522" s="192"/>
      <c r="L522" s="194"/>
      <c r="M522" s="194"/>
    </row>
    <row r="523" ht="36.75" customHeight="1">
      <c r="D523" s="191"/>
      <c r="I523" s="192"/>
      <c r="L523" s="194"/>
      <c r="M523" s="194"/>
    </row>
    <row r="524" ht="36.75" customHeight="1">
      <c r="D524" s="191"/>
      <c r="I524" s="192"/>
      <c r="L524" s="194"/>
      <c r="M524" s="194"/>
    </row>
    <row r="525" ht="36.75" customHeight="1">
      <c r="D525" s="191"/>
      <c r="I525" s="192"/>
      <c r="L525" s="194"/>
      <c r="M525" s="194"/>
    </row>
    <row r="526" ht="36.75" customHeight="1">
      <c r="D526" s="191"/>
      <c r="I526" s="192"/>
      <c r="L526" s="194"/>
      <c r="M526" s="194"/>
    </row>
    <row r="527" ht="36.75" customHeight="1">
      <c r="D527" s="191"/>
      <c r="I527" s="192"/>
      <c r="L527" s="194"/>
      <c r="M527" s="194"/>
    </row>
    <row r="528" ht="36.75" customHeight="1">
      <c r="D528" s="191"/>
      <c r="I528" s="192"/>
      <c r="L528" s="194"/>
      <c r="M528" s="194"/>
    </row>
    <row r="529" ht="36.75" customHeight="1">
      <c r="D529" s="191"/>
      <c r="I529" s="192"/>
      <c r="L529" s="194"/>
      <c r="M529" s="194"/>
    </row>
    <row r="530" ht="36.75" customHeight="1">
      <c r="D530" s="191"/>
      <c r="I530" s="192"/>
      <c r="L530" s="194"/>
      <c r="M530" s="194"/>
    </row>
    <row r="531" ht="36.75" customHeight="1">
      <c r="D531" s="191"/>
      <c r="I531" s="192"/>
      <c r="L531" s="194"/>
      <c r="M531" s="194"/>
    </row>
    <row r="532" ht="36.75" customHeight="1">
      <c r="D532" s="191"/>
      <c r="I532" s="192"/>
      <c r="L532" s="194"/>
      <c r="M532" s="194"/>
    </row>
    <row r="533" ht="36.75" customHeight="1">
      <c r="D533" s="191"/>
      <c r="I533" s="192"/>
      <c r="L533" s="194"/>
      <c r="M533" s="194"/>
    </row>
    <row r="534" ht="36.75" customHeight="1">
      <c r="D534" s="191"/>
      <c r="I534" s="192"/>
      <c r="L534" s="194"/>
      <c r="M534" s="194"/>
    </row>
    <row r="535" ht="36.75" customHeight="1">
      <c r="D535" s="191"/>
      <c r="I535" s="192"/>
      <c r="L535" s="194"/>
      <c r="M535" s="194"/>
    </row>
    <row r="536" ht="36.75" customHeight="1">
      <c r="D536" s="191"/>
      <c r="I536" s="192"/>
      <c r="L536" s="194"/>
      <c r="M536" s="194"/>
    </row>
    <row r="537" ht="36.75" customHeight="1">
      <c r="D537" s="191"/>
      <c r="I537" s="192"/>
      <c r="L537" s="194"/>
      <c r="M537" s="194"/>
    </row>
    <row r="538" ht="36.75" customHeight="1">
      <c r="D538" s="191"/>
      <c r="I538" s="192"/>
      <c r="L538" s="194"/>
      <c r="M538" s="194"/>
    </row>
    <row r="539" ht="36.75" customHeight="1">
      <c r="D539" s="191"/>
      <c r="I539" s="192"/>
      <c r="L539" s="194"/>
      <c r="M539" s="194"/>
    </row>
    <row r="540" ht="36.75" customHeight="1">
      <c r="D540" s="191"/>
      <c r="I540" s="192"/>
      <c r="L540" s="194"/>
      <c r="M540" s="194"/>
    </row>
    <row r="541" ht="36.75" customHeight="1">
      <c r="D541" s="191"/>
      <c r="I541" s="192"/>
      <c r="L541" s="194"/>
      <c r="M541" s="194"/>
    </row>
    <row r="542" ht="36.75" customHeight="1">
      <c r="D542" s="191"/>
      <c r="I542" s="192"/>
      <c r="L542" s="194"/>
      <c r="M542" s="194"/>
    </row>
    <row r="543" ht="36.75" customHeight="1">
      <c r="D543" s="191"/>
      <c r="I543" s="192"/>
      <c r="L543" s="194"/>
      <c r="M543" s="194"/>
    </row>
    <row r="544" ht="36.75" customHeight="1">
      <c r="D544" s="191"/>
      <c r="I544" s="192"/>
      <c r="L544" s="194"/>
      <c r="M544" s="194"/>
    </row>
    <row r="545" ht="36.75" customHeight="1">
      <c r="D545" s="191"/>
      <c r="I545" s="192"/>
      <c r="L545" s="194"/>
      <c r="M545" s="194"/>
    </row>
    <row r="546" ht="36.75" customHeight="1">
      <c r="D546" s="191"/>
      <c r="I546" s="192"/>
      <c r="L546" s="194"/>
      <c r="M546" s="194"/>
    </row>
    <row r="547" ht="36.75" customHeight="1">
      <c r="D547" s="191"/>
      <c r="I547" s="192"/>
      <c r="L547" s="194"/>
      <c r="M547" s="194"/>
    </row>
    <row r="548" ht="36.75" customHeight="1">
      <c r="D548" s="191"/>
      <c r="I548" s="192"/>
      <c r="L548" s="194"/>
      <c r="M548" s="194"/>
    </row>
    <row r="549" ht="36.75" customHeight="1">
      <c r="D549" s="191"/>
      <c r="I549" s="192"/>
      <c r="L549" s="194"/>
      <c r="M549" s="194"/>
    </row>
    <row r="550" ht="36.75" customHeight="1">
      <c r="D550" s="191"/>
      <c r="I550" s="192"/>
      <c r="L550" s="194"/>
      <c r="M550" s="194"/>
    </row>
    <row r="551" ht="36.75" customHeight="1">
      <c r="D551" s="191"/>
      <c r="I551" s="192"/>
      <c r="L551" s="194"/>
      <c r="M551" s="194"/>
    </row>
    <row r="552" ht="36.75" customHeight="1">
      <c r="D552" s="191"/>
      <c r="I552" s="192"/>
      <c r="L552" s="194"/>
      <c r="M552" s="194"/>
    </row>
    <row r="553" ht="36.75" customHeight="1">
      <c r="D553" s="191"/>
      <c r="I553" s="192"/>
      <c r="L553" s="194"/>
      <c r="M553" s="194"/>
    </row>
    <row r="554" ht="36.75" customHeight="1">
      <c r="D554" s="191"/>
      <c r="I554" s="192"/>
      <c r="L554" s="194"/>
      <c r="M554" s="194"/>
    </row>
    <row r="555" ht="36.75" customHeight="1">
      <c r="D555" s="191"/>
      <c r="I555" s="192"/>
      <c r="L555" s="194"/>
      <c r="M555" s="194"/>
    </row>
    <row r="556" ht="36.75" customHeight="1">
      <c r="D556" s="191"/>
      <c r="I556" s="192"/>
      <c r="L556" s="194"/>
      <c r="M556" s="194"/>
    </row>
    <row r="557" ht="36.75" customHeight="1">
      <c r="D557" s="191"/>
      <c r="I557" s="192"/>
      <c r="L557" s="194"/>
      <c r="M557" s="194"/>
    </row>
    <row r="558" ht="36.75" customHeight="1">
      <c r="D558" s="191"/>
      <c r="I558" s="192"/>
      <c r="L558" s="194"/>
      <c r="M558" s="194"/>
    </row>
    <row r="559" ht="36.75" customHeight="1">
      <c r="D559" s="191"/>
      <c r="I559" s="192"/>
      <c r="L559" s="194"/>
      <c r="M559" s="194"/>
    </row>
    <row r="560" ht="36.75" customHeight="1">
      <c r="D560" s="191"/>
      <c r="I560" s="192"/>
      <c r="L560" s="194"/>
      <c r="M560" s="194"/>
    </row>
    <row r="561" ht="36.75" customHeight="1">
      <c r="D561" s="191"/>
      <c r="I561" s="192"/>
      <c r="L561" s="194"/>
      <c r="M561" s="194"/>
    </row>
    <row r="562" ht="36.75" customHeight="1">
      <c r="D562" s="191"/>
      <c r="I562" s="192"/>
      <c r="L562" s="194"/>
      <c r="M562" s="194"/>
    </row>
    <row r="563" ht="36.75" customHeight="1">
      <c r="D563" s="191"/>
      <c r="I563" s="192"/>
      <c r="L563" s="194"/>
      <c r="M563" s="194"/>
    </row>
    <row r="564" ht="36.75" customHeight="1">
      <c r="D564" s="191"/>
      <c r="I564" s="192"/>
      <c r="L564" s="194"/>
      <c r="M564" s="194"/>
    </row>
    <row r="565" ht="36.75" customHeight="1">
      <c r="D565" s="191"/>
      <c r="I565" s="192"/>
      <c r="L565" s="194"/>
      <c r="M565" s="194"/>
    </row>
    <row r="566" ht="36.75" customHeight="1">
      <c r="D566" s="191"/>
      <c r="I566" s="192"/>
      <c r="L566" s="194"/>
      <c r="M566" s="194"/>
    </row>
    <row r="567" ht="36.75" customHeight="1">
      <c r="D567" s="191"/>
      <c r="I567" s="192"/>
      <c r="L567" s="194"/>
      <c r="M567" s="194"/>
    </row>
    <row r="568" ht="36.75" customHeight="1">
      <c r="D568" s="191"/>
      <c r="I568" s="192"/>
      <c r="L568" s="194"/>
      <c r="M568" s="194"/>
    </row>
    <row r="569" ht="36.75" customHeight="1">
      <c r="D569" s="191"/>
      <c r="I569" s="192"/>
      <c r="L569" s="194"/>
      <c r="M569" s="194"/>
    </row>
    <row r="570" ht="36.75" customHeight="1">
      <c r="D570" s="191"/>
      <c r="I570" s="192"/>
      <c r="L570" s="194"/>
      <c r="M570" s="194"/>
    </row>
    <row r="571" ht="36.75" customHeight="1">
      <c r="D571" s="191"/>
      <c r="I571" s="192"/>
      <c r="L571" s="194"/>
      <c r="M571" s="194"/>
    </row>
    <row r="572" ht="36.75" customHeight="1">
      <c r="D572" s="191"/>
      <c r="I572" s="192"/>
      <c r="L572" s="194"/>
      <c r="M572" s="194"/>
    </row>
    <row r="573" ht="36.75" customHeight="1">
      <c r="D573" s="191"/>
      <c r="I573" s="192"/>
      <c r="L573" s="194"/>
      <c r="M573" s="194"/>
    </row>
    <row r="574" ht="36.75" customHeight="1">
      <c r="D574" s="191"/>
      <c r="I574" s="192"/>
      <c r="L574" s="194"/>
      <c r="M574" s="194"/>
    </row>
    <row r="575" ht="36.75" customHeight="1">
      <c r="D575" s="191"/>
      <c r="I575" s="192"/>
      <c r="L575" s="194"/>
      <c r="M575" s="194"/>
    </row>
    <row r="576" ht="36.75" customHeight="1">
      <c r="D576" s="191"/>
      <c r="I576" s="192"/>
      <c r="L576" s="194"/>
      <c r="M576" s="194"/>
    </row>
    <row r="577" ht="36.75" customHeight="1">
      <c r="D577" s="191"/>
      <c r="I577" s="192"/>
      <c r="L577" s="194"/>
      <c r="M577" s="194"/>
    </row>
    <row r="578" ht="36.75" customHeight="1">
      <c r="D578" s="191"/>
      <c r="I578" s="192"/>
      <c r="L578" s="194"/>
      <c r="M578" s="194"/>
    </row>
    <row r="579" ht="36.75" customHeight="1">
      <c r="D579" s="191"/>
      <c r="I579" s="192"/>
      <c r="L579" s="194"/>
      <c r="M579" s="194"/>
    </row>
    <row r="580" ht="36.75" customHeight="1">
      <c r="D580" s="191"/>
      <c r="I580" s="192"/>
      <c r="L580" s="194"/>
      <c r="M580" s="194"/>
    </row>
    <row r="581" ht="36.75" customHeight="1">
      <c r="D581" s="191"/>
      <c r="I581" s="192"/>
      <c r="L581" s="194"/>
      <c r="M581" s="194"/>
    </row>
    <row r="582" ht="36.75" customHeight="1">
      <c r="D582" s="191"/>
      <c r="I582" s="192"/>
      <c r="L582" s="194"/>
      <c r="M582" s="194"/>
    </row>
    <row r="583" ht="36.75" customHeight="1">
      <c r="D583" s="191"/>
      <c r="I583" s="192"/>
      <c r="L583" s="194"/>
      <c r="M583" s="194"/>
    </row>
    <row r="584" ht="36.75" customHeight="1">
      <c r="D584" s="191"/>
      <c r="I584" s="192"/>
      <c r="L584" s="194"/>
      <c r="M584" s="194"/>
    </row>
    <row r="585" ht="36.75" customHeight="1">
      <c r="D585" s="191"/>
      <c r="I585" s="192"/>
      <c r="L585" s="194"/>
      <c r="M585" s="194"/>
    </row>
    <row r="586" ht="36.75" customHeight="1">
      <c r="D586" s="191"/>
      <c r="I586" s="192"/>
      <c r="L586" s="194"/>
      <c r="M586" s="194"/>
    </row>
    <row r="587" ht="36.75" customHeight="1">
      <c r="D587" s="191"/>
      <c r="I587" s="192"/>
      <c r="L587" s="194"/>
      <c r="M587" s="194"/>
    </row>
    <row r="588" ht="36.75" customHeight="1">
      <c r="D588" s="191"/>
      <c r="I588" s="192"/>
      <c r="L588" s="194"/>
      <c r="M588" s="194"/>
    </row>
    <row r="589" ht="36.75" customHeight="1">
      <c r="D589" s="191"/>
      <c r="I589" s="192"/>
      <c r="L589" s="194"/>
      <c r="M589" s="194"/>
    </row>
    <row r="590" ht="36.75" customHeight="1">
      <c r="D590" s="191"/>
      <c r="I590" s="192"/>
      <c r="L590" s="194"/>
      <c r="M590" s="194"/>
    </row>
    <row r="591" ht="36.75" customHeight="1">
      <c r="D591" s="191"/>
      <c r="I591" s="192"/>
      <c r="L591" s="194"/>
      <c r="M591" s="194"/>
    </row>
    <row r="592" ht="36.75" customHeight="1">
      <c r="D592" s="191"/>
      <c r="I592" s="192"/>
      <c r="L592" s="194"/>
      <c r="M592" s="194"/>
    </row>
    <row r="593" ht="36.75" customHeight="1">
      <c r="D593" s="191"/>
      <c r="I593" s="192"/>
      <c r="L593" s="194"/>
      <c r="M593" s="194"/>
    </row>
    <row r="594" ht="36.75" customHeight="1">
      <c r="D594" s="191"/>
      <c r="I594" s="192"/>
      <c r="L594" s="194"/>
      <c r="M594" s="194"/>
    </row>
    <row r="595" ht="36.75" customHeight="1">
      <c r="D595" s="191"/>
      <c r="I595" s="192"/>
      <c r="L595" s="194"/>
      <c r="M595" s="194"/>
    </row>
    <row r="596" ht="36.75" customHeight="1">
      <c r="D596" s="191"/>
      <c r="I596" s="192"/>
      <c r="L596" s="194"/>
      <c r="M596" s="194"/>
    </row>
    <row r="597" ht="36.75" customHeight="1">
      <c r="D597" s="191"/>
      <c r="I597" s="192"/>
      <c r="L597" s="194"/>
      <c r="M597" s="194"/>
    </row>
    <row r="598" ht="36.75" customHeight="1">
      <c r="D598" s="191"/>
      <c r="I598" s="192"/>
      <c r="L598" s="194"/>
      <c r="M598" s="194"/>
    </row>
    <row r="599" ht="36.75" customHeight="1">
      <c r="D599" s="191"/>
      <c r="I599" s="192"/>
      <c r="L599" s="194"/>
      <c r="M599" s="194"/>
    </row>
    <row r="600" ht="36.75" customHeight="1">
      <c r="D600" s="191"/>
      <c r="I600" s="192"/>
      <c r="L600" s="194"/>
      <c r="M600" s="194"/>
    </row>
    <row r="601" ht="36.75" customHeight="1">
      <c r="D601" s="191"/>
      <c r="I601" s="192"/>
      <c r="L601" s="194"/>
      <c r="M601" s="194"/>
    </row>
    <row r="602" ht="36.75" customHeight="1">
      <c r="D602" s="191"/>
      <c r="I602" s="192"/>
      <c r="L602" s="194"/>
      <c r="M602" s="194"/>
    </row>
    <row r="603" ht="36.75" customHeight="1">
      <c r="D603" s="191"/>
      <c r="I603" s="192"/>
      <c r="L603" s="194"/>
      <c r="M603" s="194"/>
    </row>
    <row r="604" ht="36.75" customHeight="1">
      <c r="D604" s="191"/>
      <c r="I604" s="192"/>
      <c r="L604" s="194"/>
      <c r="M604" s="194"/>
    </row>
    <row r="605" ht="36.75" customHeight="1">
      <c r="D605" s="191"/>
      <c r="I605" s="192"/>
      <c r="L605" s="194"/>
      <c r="M605" s="194"/>
    </row>
    <row r="606" ht="36.75" customHeight="1">
      <c r="D606" s="191"/>
      <c r="I606" s="192"/>
      <c r="L606" s="194"/>
      <c r="M606" s="194"/>
    </row>
    <row r="607" ht="36.75" customHeight="1">
      <c r="D607" s="191"/>
      <c r="I607" s="192"/>
      <c r="L607" s="194"/>
      <c r="M607" s="194"/>
    </row>
    <row r="608" ht="36.75" customHeight="1">
      <c r="D608" s="191"/>
      <c r="I608" s="192"/>
      <c r="L608" s="194"/>
      <c r="M608" s="194"/>
    </row>
    <row r="609" ht="36.75" customHeight="1">
      <c r="D609" s="191"/>
      <c r="I609" s="192"/>
      <c r="L609" s="194"/>
      <c r="M609" s="194"/>
    </row>
    <row r="610" ht="36.75" customHeight="1">
      <c r="D610" s="191"/>
      <c r="I610" s="192"/>
      <c r="L610" s="194"/>
      <c r="M610" s="194"/>
    </row>
    <row r="611" ht="36.75" customHeight="1">
      <c r="D611" s="191"/>
      <c r="I611" s="192"/>
      <c r="L611" s="194"/>
      <c r="M611" s="194"/>
    </row>
    <row r="612" ht="36.75" customHeight="1">
      <c r="D612" s="191"/>
      <c r="I612" s="192"/>
      <c r="L612" s="194"/>
      <c r="M612" s="194"/>
    </row>
    <row r="613" ht="36.75" customHeight="1">
      <c r="D613" s="191"/>
      <c r="I613" s="192"/>
      <c r="L613" s="194"/>
      <c r="M613" s="194"/>
    </row>
    <row r="614" ht="36.75" customHeight="1">
      <c r="D614" s="191"/>
      <c r="I614" s="192"/>
      <c r="L614" s="194"/>
      <c r="M614" s="194"/>
    </row>
    <row r="615" ht="36.75" customHeight="1">
      <c r="D615" s="191"/>
      <c r="I615" s="192"/>
      <c r="L615" s="194"/>
      <c r="M615" s="194"/>
    </row>
    <row r="616" ht="36.75" customHeight="1">
      <c r="D616" s="191"/>
      <c r="I616" s="192"/>
      <c r="L616" s="194"/>
      <c r="M616" s="194"/>
    </row>
    <row r="617" ht="36.75" customHeight="1">
      <c r="D617" s="191"/>
      <c r="I617" s="192"/>
      <c r="L617" s="194"/>
      <c r="M617" s="194"/>
    </row>
    <row r="618" ht="36.75" customHeight="1">
      <c r="D618" s="191"/>
      <c r="I618" s="192"/>
      <c r="L618" s="194"/>
      <c r="M618" s="194"/>
    </row>
    <row r="619" ht="36.75" customHeight="1">
      <c r="D619" s="191"/>
      <c r="I619" s="192"/>
      <c r="L619" s="194"/>
      <c r="M619" s="194"/>
    </row>
    <row r="620" ht="36.75" customHeight="1">
      <c r="D620" s="191"/>
      <c r="I620" s="192"/>
      <c r="L620" s="194"/>
      <c r="M620" s="194"/>
    </row>
    <row r="621" ht="36.75" customHeight="1">
      <c r="D621" s="191"/>
      <c r="I621" s="192"/>
      <c r="L621" s="194"/>
      <c r="M621" s="194"/>
    </row>
    <row r="622" ht="36.75" customHeight="1">
      <c r="D622" s="191"/>
      <c r="I622" s="192"/>
      <c r="L622" s="194"/>
      <c r="M622" s="194"/>
    </row>
    <row r="623" ht="36.75" customHeight="1">
      <c r="D623" s="191"/>
      <c r="I623" s="192"/>
      <c r="L623" s="194"/>
      <c r="M623" s="194"/>
    </row>
    <row r="624" ht="36.75" customHeight="1">
      <c r="D624" s="191"/>
      <c r="I624" s="192"/>
      <c r="L624" s="194"/>
      <c r="M624" s="194"/>
    </row>
    <row r="625" ht="36.75" customHeight="1">
      <c r="D625" s="191"/>
      <c r="I625" s="192"/>
      <c r="L625" s="194"/>
      <c r="M625" s="194"/>
    </row>
    <row r="626" ht="36.75" customHeight="1">
      <c r="D626" s="191"/>
      <c r="I626" s="192"/>
      <c r="L626" s="194"/>
      <c r="M626" s="194"/>
    </row>
    <row r="627" ht="36.75" customHeight="1">
      <c r="D627" s="191"/>
      <c r="I627" s="192"/>
      <c r="L627" s="194"/>
      <c r="M627" s="194"/>
    </row>
    <row r="628" ht="36.75" customHeight="1">
      <c r="D628" s="191"/>
      <c r="I628" s="192"/>
      <c r="L628" s="194"/>
      <c r="M628" s="194"/>
    </row>
    <row r="629" ht="36.75" customHeight="1">
      <c r="D629" s="191"/>
      <c r="I629" s="192"/>
      <c r="L629" s="194"/>
      <c r="M629" s="194"/>
    </row>
    <row r="630" ht="36.75" customHeight="1">
      <c r="D630" s="191"/>
      <c r="I630" s="192"/>
      <c r="L630" s="194"/>
      <c r="M630" s="194"/>
    </row>
    <row r="631" ht="36.75" customHeight="1">
      <c r="D631" s="191"/>
      <c r="I631" s="192"/>
      <c r="L631" s="194"/>
      <c r="M631" s="194"/>
    </row>
    <row r="632" ht="36.75" customHeight="1">
      <c r="D632" s="191"/>
      <c r="I632" s="192"/>
      <c r="L632" s="194"/>
      <c r="M632" s="194"/>
    </row>
    <row r="633" ht="36.75" customHeight="1">
      <c r="D633" s="191"/>
      <c r="I633" s="192"/>
      <c r="L633" s="194"/>
      <c r="M633" s="194"/>
    </row>
    <row r="634" ht="36.75" customHeight="1">
      <c r="D634" s="191"/>
      <c r="I634" s="192"/>
      <c r="L634" s="194"/>
      <c r="M634" s="194"/>
    </row>
    <row r="635" ht="36.75" customHeight="1">
      <c r="D635" s="191"/>
      <c r="I635" s="192"/>
      <c r="L635" s="194"/>
      <c r="M635" s="194"/>
    </row>
    <row r="636" ht="36.75" customHeight="1">
      <c r="D636" s="191"/>
      <c r="I636" s="192"/>
      <c r="L636" s="194"/>
      <c r="M636" s="194"/>
    </row>
    <row r="637" ht="36.75" customHeight="1">
      <c r="D637" s="191"/>
      <c r="I637" s="192"/>
      <c r="L637" s="194"/>
      <c r="M637" s="194"/>
    </row>
    <row r="638" ht="36.75" customHeight="1">
      <c r="D638" s="191"/>
      <c r="I638" s="192"/>
      <c r="L638" s="194"/>
      <c r="M638" s="194"/>
    </row>
    <row r="639" ht="36.75" customHeight="1">
      <c r="D639" s="191"/>
      <c r="I639" s="192"/>
      <c r="L639" s="194"/>
      <c r="M639" s="194"/>
    </row>
    <row r="640" ht="36.75" customHeight="1">
      <c r="D640" s="191"/>
      <c r="I640" s="192"/>
      <c r="L640" s="194"/>
      <c r="M640" s="194"/>
    </row>
    <row r="641" ht="36.75" customHeight="1">
      <c r="D641" s="191"/>
      <c r="I641" s="192"/>
      <c r="L641" s="194"/>
      <c r="M641" s="194"/>
    </row>
    <row r="642" ht="36.75" customHeight="1">
      <c r="D642" s="191"/>
      <c r="I642" s="192"/>
      <c r="L642" s="194"/>
      <c r="M642" s="194"/>
    </row>
    <row r="643" ht="36.75" customHeight="1">
      <c r="D643" s="191"/>
      <c r="I643" s="192"/>
      <c r="L643" s="194"/>
      <c r="M643" s="194"/>
    </row>
    <row r="644" ht="36.75" customHeight="1">
      <c r="D644" s="191"/>
      <c r="I644" s="192"/>
      <c r="L644" s="194"/>
      <c r="M644" s="194"/>
    </row>
    <row r="645" ht="36.75" customHeight="1">
      <c r="D645" s="191"/>
      <c r="I645" s="192"/>
      <c r="L645" s="194"/>
      <c r="M645" s="194"/>
    </row>
    <row r="646" ht="36.75" customHeight="1">
      <c r="D646" s="191"/>
      <c r="I646" s="192"/>
      <c r="L646" s="194"/>
      <c r="M646" s="194"/>
    </row>
    <row r="647" ht="36.75" customHeight="1">
      <c r="D647" s="191"/>
      <c r="I647" s="192"/>
      <c r="L647" s="194"/>
      <c r="M647" s="194"/>
    </row>
    <row r="648" ht="36.75" customHeight="1">
      <c r="D648" s="191"/>
      <c r="I648" s="192"/>
      <c r="L648" s="194"/>
      <c r="M648" s="194"/>
    </row>
    <row r="649" ht="36.75" customHeight="1">
      <c r="D649" s="191"/>
      <c r="I649" s="192"/>
      <c r="L649" s="194"/>
      <c r="M649" s="194"/>
    </row>
    <row r="650" ht="36.75" customHeight="1">
      <c r="D650" s="191"/>
      <c r="I650" s="192"/>
      <c r="L650" s="194"/>
      <c r="M650" s="194"/>
    </row>
    <row r="651" ht="36.75" customHeight="1">
      <c r="D651" s="191"/>
      <c r="I651" s="192"/>
      <c r="L651" s="194"/>
      <c r="M651" s="194"/>
    </row>
    <row r="652" ht="36.75" customHeight="1">
      <c r="D652" s="191"/>
      <c r="I652" s="192"/>
      <c r="L652" s="194"/>
      <c r="M652" s="194"/>
    </row>
    <row r="653" ht="36.75" customHeight="1">
      <c r="D653" s="191"/>
      <c r="I653" s="192"/>
      <c r="L653" s="194"/>
      <c r="M653" s="194"/>
    </row>
    <row r="654" ht="36.75" customHeight="1">
      <c r="D654" s="191"/>
      <c r="I654" s="192"/>
      <c r="L654" s="194"/>
      <c r="M654" s="194"/>
    </row>
    <row r="655" ht="36.75" customHeight="1">
      <c r="D655" s="191"/>
      <c r="I655" s="192"/>
      <c r="L655" s="194"/>
      <c r="M655" s="194"/>
    </row>
    <row r="656" ht="36.75" customHeight="1">
      <c r="D656" s="191"/>
      <c r="I656" s="192"/>
      <c r="L656" s="194"/>
      <c r="M656" s="194"/>
    </row>
    <row r="657" ht="36.75" customHeight="1">
      <c r="D657" s="191"/>
      <c r="I657" s="192"/>
      <c r="L657" s="194"/>
      <c r="M657" s="194"/>
    </row>
    <row r="658" ht="36.75" customHeight="1">
      <c r="D658" s="191"/>
      <c r="I658" s="192"/>
      <c r="L658" s="194"/>
      <c r="M658" s="194"/>
    </row>
    <row r="659" ht="36.75" customHeight="1">
      <c r="D659" s="191"/>
      <c r="I659" s="192"/>
      <c r="L659" s="194"/>
      <c r="M659" s="194"/>
    </row>
    <row r="660" ht="36.75" customHeight="1">
      <c r="D660" s="191"/>
      <c r="I660" s="192"/>
      <c r="L660" s="194"/>
      <c r="M660" s="194"/>
    </row>
    <row r="661" ht="36.75" customHeight="1">
      <c r="D661" s="191"/>
      <c r="I661" s="192"/>
      <c r="L661" s="194"/>
      <c r="M661" s="194"/>
    </row>
    <row r="662" ht="36.75" customHeight="1">
      <c r="D662" s="191"/>
      <c r="I662" s="192"/>
      <c r="L662" s="194"/>
      <c r="M662" s="194"/>
    </row>
    <row r="663" ht="36.75" customHeight="1">
      <c r="D663" s="191"/>
      <c r="I663" s="192"/>
      <c r="L663" s="194"/>
      <c r="M663" s="194"/>
    </row>
    <row r="664" ht="36.75" customHeight="1">
      <c r="D664" s="191"/>
      <c r="I664" s="192"/>
      <c r="L664" s="194"/>
      <c r="M664" s="194"/>
    </row>
    <row r="665" ht="36.75" customHeight="1">
      <c r="D665" s="191"/>
      <c r="I665" s="192"/>
      <c r="L665" s="194"/>
      <c r="M665" s="194"/>
    </row>
    <row r="666" ht="36.75" customHeight="1">
      <c r="D666" s="191"/>
      <c r="I666" s="192"/>
      <c r="L666" s="194"/>
      <c r="M666" s="194"/>
    </row>
    <row r="667" ht="36.75" customHeight="1">
      <c r="D667" s="191"/>
      <c r="I667" s="192"/>
      <c r="L667" s="194"/>
      <c r="M667" s="194"/>
    </row>
    <row r="668" ht="36.75" customHeight="1">
      <c r="D668" s="191"/>
      <c r="I668" s="192"/>
      <c r="L668" s="194"/>
      <c r="M668" s="194"/>
    </row>
    <row r="669" ht="36.75" customHeight="1">
      <c r="D669" s="191"/>
      <c r="I669" s="192"/>
      <c r="L669" s="194"/>
      <c r="M669" s="194"/>
    </row>
    <row r="670" ht="36.75" customHeight="1">
      <c r="D670" s="191"/>
      <c r="I670" s="192"/>
      <c r="L670" s="194"/>
      <c r="M670" s="194"/>
    </row>
    <row r="671" ht="36.75" customHeight="1">
      <c r="D671" s="191"/>
      <c r="I671" s="192"/>
      <c r="L671" s="194"/>
      <c r="M671" s="194"/>
    </row>
    <row r="672" ht="36.75" customHeight="1">
      <c r="D672" s="191"/>
      <c r="I672" s="192"/>
      <c r="L672" s="194"/>
      <c r="M672" s="194"/>
    </row>
    <row r="673" ht="36.75" customHeight="1">
      <c r="D673" s="191"/>
      <c r="I673" s="192"/>
      <c r="L673" s="194"/>
      <c r="M673" s="194"/>
    </row>
    <row r="674" ht="36.75" customHeight="1">
      <c r="D674" s="191"/>
      <c r="I674" s="192"/>
      <c r="L674" s="194"/>
      <c r="M674" s="194"/>
    </row>
    <row r="675" ht="36.75" customHeight="1">
      <c r="D675" s="191"/>
      <c r="I675" s="192"/>
      <c r="L675" s="194"/>
      <c r="M675" s="194"/>
    </row>
    <row r="676" ht="36.75" customHeight="1">
      <c r="D676" s="191"/>
      <c r="I676" s="192"/>
      <c r="L676" s="194"/>
      <c r="M676" s="194"/>
    </row>
    <row r="677" ht="36.75" customHeight="1">
      <c r="D677" s="191"/>
      <c r="I677" s="192"/>
      <c r="L677" s="194"/>
      <c r="M677" s="194"/>
    </row>
    <row r="678" ht="36.75" customHeight="1">
      <c r="D678" s="191"/>
      <c r="I678" s="192"/>
      <c r="L678" s="194"/>
      <c r="M678" s="194"/>
    </row>
    <row r="679" ht="36.75" customHeight="1">
      <c r="D679" s="191"/>
      <c r="I679" s="192"/>
      <c r="L679" s="194"/>
      <c r="M679" s="194"/>
    </row>
    <row r="680" ht="36.75" customHeight="1">
      <c r="D680" s="191"/>
      <c r="I680" s="192"/>
      <c r="L680" s="194"/>
      <c r="M680" s="194"/>
    </row>
    <row r="681" ht="36.75" customHeight="1">
      <c r="D681" s="191"/>
      <c r="I681" s="192"/>
      <c r="L681" s="194"/>
      <c r="M681" s="194"/>
    </row>
    <row r="682" ht="36.75" customHeight="1">
      <c r="D682" s="191"/>
      <c r="I682" s="192"/>
      <c r="L682" s="194"/>
      <c r="M682" s="194"/>
    </row>
    <row r="683" ht="36.75" customHeight="1">
      <c r="D683" s="191"/>
      <c r="I683" s="192"/>
      <c r="L683" s="194"/>
      <c r="M683" s="194"/>
    </row>
    <row r="684" ht="36.75" customHeight="1">
      <c r="D684" s="191"/>
      <c r="I684" s="192"/>
      <c r="L684" s="194"/>
      <c r="M684" s="194"/>
    </row>
    <row r="685" ht="36.75" customHeight="1">
      <c r="D685" s="191"/>
      <c r="I685" s="192"/>
      <c r="L685" s="194"/>
      <c r="M685" s="194"/>
    </row>
    <row r="686" ht="36.75" customHeight="1">
      <c r="D686" s="191"/>
      <c r="I686" s="192"/>
      <c r="L686" s="194"/>
      <c r="M686" s="194"/>
    </row>
    <row r="687" ht="36.75" customHeight="1">
      <c r="D687" s="191"/>
      <c r="I687" s="192"/>
      <c r="L687" s="194"/>
      <c r="M687" s="194"/>
    </row>
    <row r="688" ht="36.75" customHeight="1">
      <c r="D688" s="191"/>
      <c r="I688" s="192"/>
      <c r="L688" s="194"/>
      <c r="M688" s="194"/>
    </row>
    <row r="689" ht="36.75" customHeight="1">
      <c r="D689" s="191"/>
      <c r="I689" s="192"/>
      <c r="L689" s="194"/>
      <c r="M689" s="194"/>
    </row>
    <row r="690" ht="36.75" customHeight="1">
      <c r="D690" s="191"/>
      <c r="I690" s="192"/>
      <c r="L690" s="194"/>
      <c r="M690" s="194"/>
    </row>
    <row r="691" ht="36.75" customHeight="1">
      <c r="D691" s="191"/>
      <c r="I691" s="192"/>
      <c r="L691" s="194"/>
      <c r="M691" s="194"/>
    </row>
    <row r="692" ht="36.75" customHeight="1">
      <c r="D692" s="191"/>
      <c r="I692" s="192"/>
      <c r="L692" s="194"/>
      <c r="M692" s="194"/>
    </row>
    <row r="693" ht="36.75" customHeight="1">
      <c r="D693" s="191"/>
      <c r="I693" s="192"/>
      <c r="L693" s="194"/>
      <c r="M693" s="194"/>
    </row>
    <row r="694" ht="36.75" customHeight="1">
      <c r="D694" s="191"/>
      <c r="I694" s="192"/>
      <c r="L694" s="194"/>
      <c r="M694" s="194"/>
    </row>
    <row r="695" ht="36.75" customHeight="1">
      <c r="D695" s="191"/>
      <c r="I695" s="192"/>
      <c r="L695" s="194"/>
      <c r="M695" s="194"/>
    </row>
    <row r="696" ht="36.75" customHeight="1">
      <c r="D696" s="191"/>
      <c r="I696" s="192"/>
      <c r="L696" s="194"/>
      <c r="M696" s="194"/>
    </row>
    <row r="697" ht="36.75" customHeight="1">
      <c r="D697" s="191"/>
      <c r="I697" s="192"/>
      <c r="L697" s="194"/>
      <c r="M697" s="194"/>
    </row>
    <row r="698" ht="36.75" customHeight="1">
      <c r="D698" s="191"/>
      <c r="I698" s="192"/>
      <c r="L698" s="194"/>
      <c r="M698" s="194"/>
    </row>
    <row r="699" ht="36.75" customHeight="1">
      <c r="D699" s="191"/>
      <c r="I699" s="192"/>
      <c r="L699" s="194"/>
      <c r="M699" s="194"/>
    </row>
    <row r="700" ht="36.75" customHeight="1">
      <c r="D700" s="191"/>
      <c r="I700" s="192"/>
      <c r="L700" s="194"/>
      <c r="M700" s="194"/>
    </row>
    <row r="701" ht="36.75" customHeight="1">
      <c r="D701" s="191"/>
      <c r="I701" s="192"/>
      <c r="L701" s="194"/>
      <c r="M701" s="194"/>
    </row>
    <row r="702" ht="36.75" customHeight="1">
      <c r="D702" s="191"/>
      <c r="I702" s="192"/>
      <c r="L702" s="194"/>
      <c r="M702" s="194"/>
    </row>
    <row r="703" ht="36.75" customHeight="1">
      <c r="D703" s="191"/>
      <c r="I703" s="192"/>
      <c r="L703" s="194"/>
      <c r="M703" s="194"/>
    </row>
    <row r="704" ht="36.75" customHeight="1">
      <c r="D704" s="191"/>
      <c r="I704" s="192"/>
      <c r="L704" s="194"/>
      <c r="M704" s="194"/>
    </row>
    <row r="705" ht="36.75" customHeight="1">
      <c r="D705" s="191"/>
      <c r="I705" s="192"/>
      <c r="L705" s="194"/>
      <c r="M705" s="194"/>
    </row>
    <row r="706" ht="36.75" customHeight="1">
      <c r="D706" s="191"/>
      <c r="I706" s="192"/>
      <c r="L706" s="194"/>
      <c r="M706" s="194"/>
    </row>
    <row r="707" ht="36.75" customHeight="1">
      <c r="D707" s="191"/>
      <c r="I707" s="192"/>
      <c r="L707" s="194"/>
      <c r="M707" s="194"/>
    </row>
    <row r="708" ht="36.75" customHeight="1">
      <c r="D708" s="191"/>
      <c r="I708" s="192"/>
      <c r="L708" s="194"/>
      <c r="M708" s="194"/>
    </row>
    <row r="709" ht="36.75" customHeight="1">
      <c r="D709" s="191"/>
      <c r="I709" s="192"/>
      <c r="L709" s="194"/>
      <c r="M709" s="194"/>
    </row>
    <row r="710" ht="36.75" customHeight="1">
      <c r="D710" s="191"/>
      <c r="I710" s="192"/>
      <c r="L710" s="194"/>
      <c r="M710" s="194"/>
    </row>
    <row r="711" ht="36.75" customHeight="1">
      <c r="D711" s="191"/>
      <c r="I711" s="192"/>
      <c r="L711" s="194"/>
      <c r="M711" s="194"/>
    </row>
    <row r="712" ht="36.75" customHeight="1">
      <c r="D712" s="191"/>
      <c r="I712" s="192"/>
      <c r="L712" s="194"/>
      <c r="M712" s="194"/>
    </row>
    <row r="713" ht="36.75" customHeight="1">
      <c r="D713" s="191"/>
      <c r="I713" s="192"/>
      <c r="L713" s="194"/>
      <c r="M713" s="194"/>
    </row>
    <row r="714" ht="36.75" customHeight="1">
      <c r="D714" s="191"/>
      <c r="I714" s="192"/>
      <c r="L714" s="194"/>
      <c r="M714" s="194"/>
    </row>
    <row r="715" ht="36.75" customHeight="1">
      <c r="D715" s="191"/>
      <c r="I715" s="192"/>
      <c r="L715" s="194"/>
      <c r="M715" s="194"/>
    </row>
    <row r="716" ht="36.75" customHeight="1">
      <c r="D716" s="191"/>
      <c r="I716" s="192"/>
      <c r="L716" s="194"/>
      <c r="M716" s="194"/>
    </row>
    <row r="717" ht="36.75" customHeight="1">
      <c r="D717" s="191"/>
      <c r="I717" s="192"/>
      <c r="L717" s="194"/>
      <c r="M717" s="194"/>
    </row>
    <row r="718" ht="36.75" customHeight="1">
      <c r="D718" s="191"/>
      <c r="I718" s="192"/>
      <c r="L718" s="194"/>
      <c r="M718" s="194"/>
    </row>
    <row r="719" ht="36.75" customHeight="1">
      <c r="D719" s="191"/>
      <c r="I719" s="192"/>
      <c r="L719" s="194"/>
      <c r="M719" s="194"/>
    </row>
    <row r="720" ht="36.75" customHeight="1">
      <c r="D720" s="191"/>
      <c r="I720" s="192"/>
      <c r="L720" s="194"/>
      <c r="M720" s="194"/>
    </row>
    <row r="721" ht="36.75" customHeight="1">
      <c r="D721" s="191"/>
      <c r="I721" s="192"/>
      <c r="L721" s="194"/>
      <c r="M721" s="194"/>
    </row>
    <row r="722" ht="36.75" customHeight="1">
      <c r="D722" s="191"/>
      <c r="I722" s="192"/>
      <c r="L722" s="194"/>
      <c r="M722" s="194"/>
    </row>
    <row r="723" ht="36.75" customHeight="1">
      <c r="D723" s="191"/>
      <c r="I723" s="192"/>
      <c r="L723" s="194"/>
      <c r="M723" s="194"/>
    </row>
    <row r="724" ht="36.75" customHeight="1">
      <c r="D724" s="191"/>
      <c r="I724" s="192"/>
      <c r="L724" s="194"/>
      <c r="M724" s="194"/>
    </row>
    <row r="725" ht="36.75" customHeight="1">
      <c r="D725" s="191"/>
      <c r="I725" s="192"/>
      <c r="L725" s="194"/>
      <c r="M725" s="194"/>
    </row>
    <row r="726" ht="36.75" customHeight="1">
      <c r="D726" s="191"/>
      <c r="I726" s="192"/>
      <c r="L726" s="194"/>
      <c r="M726" s="194"/>
    </row>
    <row r="727" ht="36.75" customHeight="1">
      <c r="D727" s="191"/>
      <c r="I727" s="192"/>
      <c r="L727" s="194"/>
      <c r="M727" s="194"/>
    </row>
    <row r="728" ht="36.75" customHeight="1">
      <c r="D728" s="191"/>
      <c r="I728" s="192"/>
      <c r="L728" s="194"/>
      <c r="M728" s="194"/>
    </row>
    <row r="729" ht="36.75" customHeight="1">
      <c r="D729" s="191"/>
      <c r="I729" s="192"/>
      <c r="L729" s="194"/>
      <c r="M729" s="194"/>
    </row>
    <row r="730" ht="36.75" customHeight="1">
      <c r="D730" s="191"/>
      <c r="I730" s="192"/>
      <c r="L730" s="194"/>
      <c r="M730" s="194"/>
    </row>
    <row r="731" ht="36.75" customHeight="1">
      <c r="D731" s="191"/>
      <c r="I731" s="192"/>
      <c r="L731" s="194"/>
      <c r="M731" s="194"/>
    </row>
    <row r="732" ht="36.75" customHeight="1">
      <c r="D732" s="191"/>
      <c r="I732" s="192"/>
      <c r="L732" s="194"/>
      <c r="M732" s="194"/>
    </row>
    <row r="733" ht="36.75" customHeight="1">
      <c r="D733" s="191"/>
      <c r="I733" s="192"/>
      <c r="L733" s="194"/>
      <c r="M733" s="194"/>
    </row>
    <row r="734" ht="36.75" customHeight="1">
      <c r="D734" s="191"/>
      <c r="I734" s="192"/>
      <c r="L734" s="194"/>
      <c r="M734" s="194"/>
    </row>
    <row r="735" ht="36.75" customHeight="1">
      <c r="D735" s="191"/>
      <c r="I735" s="192"/>
      <c r="L735" s="194"/>
      <c r="M735" s="194"/>
    </row>
    <row r="736" ht="36.75" customHeight="1">
      <c r="D736" s="191"/>
      <c r="I736" s="192"/>
      <c r="L736" s="194"/>
      <c r="M736" s="194"/>
    </row>
    <row r="737" ht="36.75" customHeight="1">
      <c r="D737" s="191"/>
      <c r="I737" s="192"/>
      <c r="L737" s="194"/>
      <c r="M737" s="194"/>
    </row>
    <row r="738" ht="36.75" customHeight="1">
      <c r="D738" s="191"/>
      <c r="I738" s="192"/>
      <c r="L738" s="194"/>
      <c r="M738" s="194"/>
    </row>
    <row r="739" ht="36.75" customHeight="1">
      <c r="D739" s="191"/>
      <c r="I739" s="192"/>
      <c r="L739" s="194"/>
      <c r="M739" s="194"/>
    </row>
    <row r="740" ht="36.75" customHeight="1">
      <c r="D740" s="191"/>
      <c r="I740" s="192"/>
      <c r="L740" s="194"/>
      <c r="M740" s="194"/>
    </row>
    <row r="741" ht="36.75" customHeight="1">
      <c r="D741" s="191"/>
      <c r="I741" s="192"/>
      <c r="L741" s="194"/>
      <c r="M741" s="194"/>
    </row>
    <row r="742" ht="36.75" customHeight="1">
      <c r="D742" s="191"/>
      <c r="I742" s="192"/>
      <c r="L742" s="194"/>
      <c r="M742" s="194"/>
    </row>
    <row r="743" ht="36.75" customHeight="1">
      <c r="D743" s="191"/>
      <c r="I743" s="192"/>
      <c r="L743" s="194"/>
      <c r="M743" s="194"/>
    </row>
    <row r="744" ht="36.75" customHeight="1">
      <c r="D744" s="191"/>
      <c r="I744" s="192"/>
      <c r="L744" s="194"/>
      <c r="M744" s="194"/>
    </row>
    <row r="745" ht="36.75" customHeight="1">
      <c r="D745" s="191"/>
      <c r="I745" s="192"/>
      <c r="L745" s="194"/>
      <c r="M745" s="194"/>
    </row>
    <row r="746" ht="36.75" customHeight="1">
      <c r="D746" s="191"/>
      <c r="I746" s="192"/>
      <c r="L746" s="194"/>
      <c r="M746" s="194"/>
    </row>
    <row r="747" ht="36.75" customHeight="1">
      <c r="D747" s="191"/>
      <c r="I747" s="192"/>
      <c r="L747" s="194"/>
      <c r="M747" s="194"/>
    </row>
    <row r="748" ht="36.75" customHeight="1">
      <c r="D748" s="191"/>
      <c r="I748" s="192"/>
      <c r="L748" s="194"/>
      <c r="M748" s="194"/>
    </row>
    <row r="749" ht="36.75" customHeight="1">
      <c r="D749" s="191"/>
      <c r="I749" s="192"/>
      <c r="L749" s="194"/>
      <c r="M749" s="194"/>
    </row>
    <row r="750" ht="36.75" customHeight="1">
      <c r="D750" s="191"/>
      <c r="I750" s="192"/>
      <c r="L750" s="194"/>
      <c r="M750" s="194"/>
    </row>
    <row r="751" ht="36.75" customHeight="1">
      <c r="D751" s="191"/>
      <c r="I751" s="192"/>
      <c r="L751" s="194"/>
      <c r="M751" s="194"/>
    </row>
    <row r="752" ht="36.75" customHeight="1">
      <c r="D752" s="191"/>
      <c r="I752" s="192"/>
      <c r="L752" s="194"/>
      <c r="M752" s="194"/>
    </row>
    <row r="753" ht="36.75" customHeight="1">
      <c r="D753" s="191"/>
      <c r="I753" s="192"/>
      <c r="L753" s="194"/>
      <c r="M753" s="194"/>
    </row>
    <row r="754" ht="36.75" customHeight="1">
      <c r="D754" s="191"/>
      <c r="I754" s="192"/>
      <c r="L754" s="194"/>
      <c r="M754" s="194"/>
    </row>
    <row r="755" ht="36.75" customHeight="1">
      <c r="D755" s="191"/>
      <c r="I755" s="192"/>
      <c r="L755" s="194"/>
      <c r="M755" s="194"/>
    </row>
    <row r="756" ht="36.75" customHeight="1">
      <c r="D756" s="191"/>
      <c r="I756" s="192"/>
      <c r="L756" s="194"/>
      <c r="M756" s="194"/>
    </row>
    <row r="757" ht="36.75" customHeight="1">
      <c r="D757" s="191"/>
      <c r="I757" s="192"/>
      <c r="L757" s="194"/>
      <c r="M757" s="194"/>
    </row>
    <row r="758" ht="36.75" customHeight="1">
      <c r="D758" s="191"/>
      <c r="I758" s="192"/>
      <c r="L758" s="194"/>
      <c r="M758" s="194"/>
    </row>
    <row r="759" ht="36.75" customHeight="1">
      <c r="D759" s="191"/>
      <c r="I759" s="192"/>
      <c r="L759" s="194"/>
      <c r="M759" s="194"/>
    </row>
    <row r="760" ht="36.75" customHeight="1">
      <c r="D760" s="191"/>
      <c r="I760" s="192"/>
      <c r="L760" s="194"/>
      <c r="M760" s="194"/>
    </row>
    <row r="761" ht="36.75" customHeight="1">
      <c r="D761" s="191"/>
      <c r="I761" s="192"/>
      <c r="L761" s="194"/>
      <c r="M761" s="194"/>
    </row>
    <row r="762" ht="36.75" customHeight="1">
      <c r="D762" s="191"/>
      <c r="I762" s="192"/>
      <c r="L762" s="194"/>
      <c r="M762" s="194"/>
    </row>
    <row r="763" ht="36.75" customHeight="1">
      <c r="D763" s="191"/>
      <c r="I763" s="192"/>
      <c r="L763" s="194"/>
      <c r="M763" s="194"/>
    </row>
    <row r="764" ht="36.75" customHeight="1">
      <c r="D764" s="191"/>
      <c r="I764" s="192"/>
      <c r="L764" s="194"/>
      <c r="M764" s="194"/>
    </row>
    <row r="765" ht="36.75" customHeight="1">
      <c r="D765" s="191"/>
      <c r="I765" s="192"/>
      <c r="L765" s="194"/>
      <c r="M765" s="194"/>
    </row>
    <row r="766" ht="36.75" customHeight="1">
      <c r="D766" s="191"/>
      <c r="I766" s="192"/>
      <c r="L766" s="194"/>
      <c r="M766" s="194"/>
    </row>
    <row r="767" ht="36.75" customHeight="1">
      <c r="D767" s="191"/>
      <c r="I767" s="192"/>
      <c r="L767" s="194"/>
      <c r="M767" s="194"/>
    </row>
    <row r="768" ht="36.75" customHeight="1">
      <c r="D768" s="191"/>
      <c r="I768" s="192"/>
      <c r="L768" s="194"/>
      <c r="M768" s="194"/>
    </row>
    <row r="769" ht="36.75" customHeight="1">
      <c r="D769" s="191"/>
      <c r="I769" s="192"/>
      <c r="L769" s="194"/>
      <c r="M769" s="194"/>
    </row>
    <row r="770" ht="36.75" customHeight="1">
      <c r="D770" s="191"/>
      <c r="I770" s="192"/>
      <c r="L770" s="194"/>
      <c r="M770" s="194"/>
    </row>
    <row r="771" ht="36.75" customHeight="1">
      <c r="D771" s="191"/>
      <c r="I771" s="192"/>
      <c r="L771" s="194"/>
      <c r="M771" s="194"/>
    </row>
    <row r="772" ht="36.75" customHeight="1">
      <c r="D772" s="191"/>
      <c r="I772" s="192"/>
      <c r="L772" s="194"/>
      <c r="M772" s="194"/>
    </row>
    <row r="773" ht="36.75" customHeight="1">
      <c r="D773" s="191"/>
      <c r="I773" s="192"/>
      <c r="L773" s="194"/>
      <c r="M773" s="194"/>
    </row>
    <row r="774" ht="36.75" customHeight="1">
      <c r="D774" s="191"/>
      <c r="I774" s="192"/>
      <c r="L774" s="194"/>
      <c r="M774" s="194"/>
    </row>
    <row r="775" ht="36.75" customHeight="1">
      <c r="D775" s="191"/>
      <c r="I775" s="192"/>
      <c r="L775" s="194"/>
      <c r="M775" s="194"/>
    </row>
    <row r="776" ht="36.75" customHeight="1">
      <c r="D776" s="191"/>
      <c r="I776" s="192"/>
      <c r="L776" s="194"/>
      <c r="M776" s="194"/>
    </row>
    <row r="777" ht="36.75" customHeight="1">
      <c r="D777" s="191"/>
      <c r="I777" s="192"/>
      <c r="L777" s="194"/>
      <c r="M777" s="194"/>
    </row>
    <row r="778" ht="36.75" customHeight="1">
      <c r="D778" s="191"/>
      <c r="I778" s="192"/>
      <c r="L778" s="194"/>
      <c r="M778" s="194"/>
    </row>
    <row r="779" ht="36.75" customHeight="1">
      <c r="D779" s="191"/>
      <c r="I779" s="192"/>
      <c r="L779" s="194"/>
      <c r="M779" s="194"/>
    </row>
    <row r="780" ht="36.75" customHeight="1">
      <c r="D780" s="191"/>
      <c r="I780" s="192"/>
      <c r="L780" s="194"/>
      <c r="M780" s="194"/>
    </row>
    <row r="781" ht="36.75" customHeight="1">
      <c r="D781" s="191"/>
      <c r="I781" s="192"/>
      <c r="L781" s="194"/>
      <c r="M781" s="194"/>
    </row>
    <row r="782" ht="36.75" customHeight="1">
      <c r="D782" s="191"/>
      <c r="I782" s="192"/>
      <c r="L782" s="194"/>
      <c r="M782" s="194"/>
    </row>
    <row r="783" ht="36.75" customHeight="1">
      <c r="D783" s="191"/>
      <c r="I783" s="192"/>
      <c r="L783" s="194"/>
      <c r="M783" s="194"/>
    </row>
    <row r="784" ht="36.75" customHeight="1">
      <c r="D784" s="191"/>
      <c r="I784" s="192"/>
      <c r="L784" s="194"/>
      <c r="M784" s="194"/>
    </row>
    <row r="785" ht="36.75" customHeight="1">
      <c r="D785" s="191"/>
      <c r="I785" s="192"/>
      <c r="L785" s="194"/>
      <c r="M785" s="194"/>
    </row>
    <row r="786" ht="36.75" customHeight="1">
      <c r="D786" s="191"/>
      <c r="I786" s="192"/>
      <c r="L786" s="194"/>
      <c r="M786" s="194"/>
    </row>
    <row r="787" ht="36.75" customHeight="1">
      <c r="D787" s="191"/>
      <c r="I787" s="192"/>
      <c r="L787" s="194"/>
      <c r="M787" s="194"/>
    </row>
    <row r="788" ht="36.75" customHeight="1">
      <c r="D788" s="191"/>
      <c r="I788" s="192"/>
      <c r="L788" s="194"/>
      <c r="M788" s="194"/>
    </row>
    <row r="789" ht="36.75" customHeight="1">
      <c r="D789" s="191"/>
      <c r="I789" s="192"/>
      <c r="L789" s="194"/>
      <c r="M789" s="194"/>
    </row>
    <row r="790" ht="36.75" customHeight="1">
      <c r="D790" s="191"/>
      <c r="I790" s="192"/>
      <c r="L790" s="194"/>
      <c r="M790" s="194"/>
    </row>
    <row r="791" ht="36.75" customHeight="1">
      <c r="D791" s="191"/>
      <c r="I791" s="192"/>
      <c r="L791" s="194"/>
      <c r="M791" s="194"/>
    </row>
    <row r="792" ht="36.75" customHeight="1">
      <c r="D792" s="191"/>
      <c r="I792" s="192"/>
      <c r="L792" s="194"/>
      <c r="M792" s="194"/>
    </row>
    <row r="793" ht="36.75" customHeight="1">
      <c r="D793" s="191"/>
      <c r="I793" s="192"/>
      <c r="L793" s="194"/>
      <c r="M793" s="194"/>
    </row>
    <row r="794" ht="36.75" customHeight="1">
      <c r="D794" s="191"/>
      <c r="I794" s="192"/>
      <c r="L794" s="194"/>
      <c r="M794" s="194"/>
    </row>
    <row r="795" ht="36.75" customHeight="1">
      <c r="D795" s="191"/>
      <c r="I795" s="192"/>
      <c r="L795" s="194"/>
      <c r="M795" s="194"/>
    </row>
    <row r="796" ht="36.75" customHeight="1">
      <c r="D796" s="191"/>
      <c r="I796" s="192"/>
      <c r="L796" s="194"/>
      <c r="M796" s="194"/>
    </row>
    <row r="797" ht="36.75" customHeight="1">
      <c r="D797" s="191"/>
      <c r="I797" s="192"/>
      <c r="L797" s="194"/>
      <c r="M797" s="194"/>
    </row>
    <row r="798" ht="36.75" customHeight="1">
      <c r="D798" s="191"/>
      <c r="I798" s="192"/>
      <c r="L798" s="194"/>
      <c r="M798" s="194"/>
    </row>
    <row r="799" ht="36.75" customHeight="1">
      <c r="D799" s="191"/>
      <c r="I799" s="192"/>
      <c r="L799" s="194"/>
      <c r="M799" s="194"/>
    </row>
    <row r="800" ht="36.75" customHeight="1">
      <c r="D800" s="191"/>
      <c r="I800" s="192"/>
      <c r="L800" s="194"/>
      <c r="M800" s="194"/>
    </row>
    <row r="801" ht="36.75" customHeight="1">
      <c r="D801" s="191"/>
      <c r="I801" s="192"/>
      <c r="L801" s="194"/>
      <c r="M801" s="194"/>
    </row>
    <row r="802" ht="36.75" customHeight="1">
      <c r="D802" s="191"/>
      <c r="I802" s="192"/>
      <c r="L802" s="194"/>
      <c r="M802" s="194"/>
    </row>
    <row r="803" ht="36.75" customHeight="1">
      <c r="D803" s="191"/>
      <c r="I803" s="192"/>
      <c r="L803" s="194"/>
      <c r="M803" s="194"/>
    </row>
    <row r="804" ht="36.75" customHeight="1">
      <c r="D804" s="191"/>
      <c r="I804" s="192"/>
      <c r="L804" s="194"/>
      <c r="M804" s="194"/>
    </row>
    <row r="805" ht="36.75" customHeight="1">
      <c r="D805" s="191"/>
      <c r="I805" s="192"/>
      <c r="L805" s="194"/>
      <c r="M805" s="194"/>
    </row>
    <row r="806" ht="36.75" customHeight="1">
      <c r="D806" s="191"/>
      <c r="I806" s="192"/>
      <c r="L806" s="194"/>
      <c r="M806" s="194"/>
    </row>
    <row r="807" ht="36.75" customHeight="1">
      <c r="D807" s="191"/>
      <c r="I807" s="192"/>
      <c r="L807" s="194"/>
      <c r="M807" s="194"/>
    </row>
    <row r="808" ht="36.75" customHeight="1">
      <c r="D808" s="191"/>
      <c r="I808" s="192"/>
      <c r="L808" s="194"/>
      <c r="M808" s="194"/>
    </row>
    <row r="809" ht="36.75" customHeight="1">
      <c r="D809" s="191"/>
      <c r="I809" s="192"/>
      <c r="L809" s="194"/>
      <c r="M809" s="194"/>
    </row>
    <row r="810" ht="36.75" customHeight="1">
      <c r="D810" s="191"/>
      <c r="I810" s="192"/>
      <c r="L810" s="194"/>
      <c r="M810" s="194"/>
    </row>
    <row r="811" ht="36.75" customHeight="1">
      <c r="D811" s="191"/>
      <c r="I811" s="192"/>
      <c r="L811" s="194"/>
      <c r="M811" s="194"/>
    </row>
    <row r="812" ht="36.75" customHeight="1">
      <c r="D812" s="191"/>
      <c r="I812" s="192"/>
      <c r="L812" s="194"/>
      <c r="M812" s="194"/>
    </row>
    <row r="813" ht="36.75" customHeight="1">
      <c r="D813" s="191"/>
      <c r="I813" s="192"/>
      <c r="L813" s="194"/>
      <c r="M813" s="194"/>
    </row>
    <row r="814" ht="36.75" customHeight="1">
      <c r="D814" s="191"/>
      <c r="I814" s="192"/>
      <c r="L814" s="194"/>
      <c r="M814" s="194"/>
    </row>
    <row r="815" ht="36.75" customHeight="1">
      <c r="D815" s="191"/>
      <c r="I815" s="192"/>
      <c r="L815" s="194"/>
      <c r="M815" s="194"/>
    </row>
    <row r="816" ht="36.75" customHeight="1">
      <c r="D816" s="191"/>
      <c r="I816" s="192"/>
      <c r="L816" s="194"/>
      <c r="M816" s="194"/>
    </row>
    <row r="817" ht="36.75" customHeight="1">
      <c r="D817" s="191"/>
      <c r="I817" s="192"/>
      <c r="L817" s="194"/>
      <c r="M817" s="194"/>
    </row>
    <row r="818" ht="36.75" customHeight="1">
      <c r="D818" s="191"/>
      <c r="I818" s="192"/>
      <c r="L818" s="194"/>
      <c r="M818" s="194"/>
    </row>
    <row r="819" ht="36.75" customHeight="1">
      <c r="D819" s="191"/>
      <c r="I819" s="192"/>
      <c r="L819" s="194"/>
      <c r="M819" s="194"/>
    </row>
    <row r="820" ht="36.75" customHeight="1">
      <c r="D820" s="191"/>
      <c r="I820" s="192"/>
      <c r="L820" s="194"/>
      <c r="M820" s="194"/>
    </row>
    <row r="821" ht="36.75" customHeight="1">
      <c r="D821" s="191"/>
      <c r="I821" s="192"/>
      <c r="L821" s="194"/>
      <c r="M821" s="194"/>
    </row>
    <row r="822" ht="36.75" customHeight="1">
      <c r="D822" s="191"/>
      <c r="I822" s="192"/>
      <c r="L822" s="194"/>
      <c r="M822" s="194"/>
    </row>
    <row r="823" ht="36.75" customHeight="1">
      <c r="D823" s="191"/>
      <c r="I823" s="192"/>
      <c r="L823" s="194"/>
      <c r="M823" s="194"/>
    </row>
    <row r="824" ht="36.75" customHeight="1">
      <c r="D824" s="191"/>
      <c r="I824" s="192"/>
      <c r="L824" s="194"/>
      <c r="M824" s="194"/>
    </row>
    <row r="825" ht="36.75" customHeight="1">
      <c r="D825" s="191"/>
      <c r="I825" s="192"/>
      <c r="L825" s="194"/>
      <c r="M825" s="194"/>
    </row>
    <row r="826" ht="36.75" customHeight="1">
      <c r="D826" s="191"/>
      <c r="I826" s="192"/>
      <c r="L826" s="194"/>
      <c r="M826" s="194"/>
    </row>
    <row r="827" ht="36.75" customHeight="1">
      <c r="D827" s="191"/>
      <c r="I827" s="192"/>
      <c r="L827" s="194"/>
      <c r="M827" s="194"/>
    </row>
    <row r="828" ht="36.75" customHeight="1">
      <c r="D828" s="191"/>
      <c r="I828" s="192"/>
      <c r="L828" s="194"/>
      <c r="M828" s="194"/>
    </row>
    <row r="829" ht="36.75" customHeight="1">
      <c r="D829" s="191"/>
      <c r="I829" s="192"/>
      <c r="L829" s="194"/>
      <c r="M829" s="194"/>
    </row>
    <row r="830" ht="36.75" customHeight="1">
      <c r="D830" s="191"/>
      <c r="I830" s="192"/>
      <c r="L830" s="194"/>
      <c r="M830" s="194"/>
    </row>
    <row r="831" ht="36.75" customHeight="1">
      <c r="D831" s="191"/>
      <c r="I831" s="192"/>
      <c r="L831" s="194"/>
      <c r="M831" s="194"/>
    </row>
    <row r="832" ht="36.75" customHeight="1">
      <c r="D832" s="191"/>
      <c r="I832" s="192"/>
      <c r="L832" s="194"/>
      <c r="M832" s="194"/>
    </row>
    <row r="833" ht="36.75" customHeight="1">
      <c r="D833" s="191"/>
      <c r="I833" s="192"/>
      <c r="L833" s="194"/>
      <c r="M833" s="194"/>
    </row>
    <row r="834" ht="36.75" customHeight="1">
      <c r="D834" s="191"/>
      <c r="I834" s="192"/>
      <c r="L834" s="194"/>
      <c r="M834" s="194"/>
    </row>
    <row r="835" ht="36.75" customHeight="1">
      <c r="D835" s="191"/>
      <c r="I835" s="192"/>
      <c r="L835" s="194"/>
      <c r="M835" s="194"/>
    </row>
    <row r="836" ht="36.75" customHeight="1">
      <c r="D836" s="191"/>
      <c r="I836" s="192"/>
      <c r="L836" s="194"/>
      <c r="M836" s="194"/>
    </row>
    <row r="837" ht="36.75" customHeight="1">
      <c r="D837" s="191"/>
      <c r="I837" s="192"/>
      <c r="L837" s="194"/>
      <c r="M837" s="194"/>
    </row>
    <row r="838" ht="36.75" customHeight="1">
      <c r="D838" s="191"/>
      <c r="I838" s="192"/>
      <c r="L838" s="194"/>
      <c r="M838" s="194"/>
    </row>
    <row r="839" ht="36.75" customHeight="1">
      <c r="D839" s="191"/>
      <c r="I839" s="192"/>
      <c r="L839" s="194"/>
      <c r="M839" s="194"/>
    </row>
    <row r="840" ht="36.75" customHeight="1">
      <c r="D840" s="191"/>
      <c r="I840" s="192"/>
      <c r="L840" s="194"/>
      <c r="M840" s="194"/>
    </row>
    <row r="841" ht="36.75" customHeight="1">
      <c r="D841" s="191"/>
      <c r="I841" s="192"/>
      <c r="L841" s="194"/>
      <c r="M841" s="194"/>
    </row>
    <row r="842" ht="36.75" customHeight="1">
      <c r="D842" s="191"/>
      <c r="I842" s="192"/>
      <c r="L842" s="194"/>
      <c r="M842" s="194"/>
    </row>
    <row r="843" ht="36.75" customHeight="1">
      <c r="D843" s="191"/>
      <c r="I843" s="192"/>
      <c r="L843" s="194"/>
      <c r="M843" s="194"/>
    </row>
    <row r="844" ht="36.75" customHeight="1">
      <c r="D844" s="191"/>
      <c r="I844" s="192"/>
      <c r="L844" s="194"/>
      <c r="M844" s="194"/>
    </row>
    <row r="845" ht="36.75" customHeight="1">
      <c r="D845" s="191"/>
      <c r="I845" s="192"/>
      <c r="L845" s="194"/>
      <c r="M845" s="194"/>
    </row>
    <row r="846" ht="36.75" customHeight="1">
      <c r="D846" s="191"/>
      <c r="I846" s="192"/>
      <c r="L846" s="194"/>
      <c r="M846" s="194"/>
    </row>
    <row r="847" ht="36.75" customHeight="1">
      <c r="D847" s="191"/>
      <c r="I847" s="192"/>
      <c r="L847" s="194"/>
      <c r="M847" s="194"/>
    </row>
    <row r="848" ht="36.75" customHeight="1">
      <c r="D848" s="191"/>
      <c r="I848" s="192"/>
      <c r="L848" s="194"/>
      <c r="M848" s="194"/>
    </row>
    <row r="849" ht="36.75" customHeight="1">
      <c r="D849" s="191"/>
      <c r="I849" s="192"/>
      <c r="L849" s="194"/>
      <c r="M849" s="194"/>
    </row>
    <row r="850" ht="36.75" customHeight="1">
      <c r="D850" s="191"/>
      <c r="I850" s="192"/>
      <c r="L850" s="194"/>
      <c r="M850" s="194"/>
    </row>
    <row r="851" ht="36.75" customHeight="1">
      <c r="D851" s="191"/>
      <c r="I851" s="192"/>
      <c r="L851" s="194"/>
      <c r="M851" s="194"/>
    </row>
    <row r="852" ht="36.75" customHeight="1">
      <c r="D852" s="191"/>
      <c r="I852" s="192"/>
      <c r="L852" s="194"/>
      <c r="M852" s="194"/>
    </row>
    <row r="853" ht="36.75" customHeight="1">
      <c r="D853" s="191"/>
      <c r="I853" s="192"/>
      <c r="L853" s="194"/>
      <c r="M853" s="194"/>
    </row>
    <row r="854" ht="36.75" customHeight="1">
      <c r="D854" s="191"/>
      <c r="I854" s="192"/>
      <c r="L854" s="194"/>
      <c r="M854" s="194"/>
    </row>
    <row r="855" ht="36.75" customHeight="1">
      <c r="D855" s="191"/>
      <c r="I855" s="192"/>
      <c r="L855" s="194"/>
      <c r="M855" s="194"/>
    </row>
    <row r="856" ht="36.75" customHeight="1">
      <c r="D856" s="191"/>
      <c r="I856" s="192"/>
      <c r="L856" s="194"/>
      <c r="M856" s="194"/>
    </row>
    <row r="857" ht="36.75" customHeight="1">
      <c r="D857" s="191"/>
      <c r="I857" s="192"/>
      <c r="L857" s="194"/>
      <c r="M857" s="194"/>
    </row>
    <row r="858" ht="36.75" customHeight="1">
      <c r="D858" s="191"/>
      <c r="I858" s="192"/>
      <c r="L858" s="194"/>
      <c r="M858" s="194"/>
    </row>
    <row r="859" ht="36.75" customHeight="1">
      <c r="D859" s="191"/>
      <c r="I859" s="192"/>
      <c r="L859" s="194"/>
      <c r="M859" s="194"/>
    </row>
    <row r="860" ht="36.75" customHeight="1">
      <c r="D860" s="191"/>
      <c r="I860" s="192"/>
      <c r="L860" s="194"/>
      <c r="M860" s="194"/>
    </row>
    <row r="861" ht="36.75" customHeight="1">
      <c r="D861" s="191"/>
      <c r="I861" s="192"/>
      <c r="L861" s="194"/>
      <c r="M861" s="194"/>
    </row>
    <row r="862" ht="36.75" customHeight="1">
      <c r="D862" s="191"/>
      <c r="I862" s="192"/>
      <c r="L862" s="194"/>
      <c r="M862" s="194"/>
    </row>
    <row r="863" ht="36.75" customHeight="1">
      <c r="D863" s="191"/>
      <c r="I863" s="192"/>
      <c r="L863" s="194"/>
      <c r="M863" s="194"/>
    </row>
    <row r="864" ht="36.75" customHeight="1">
      <c r="D864" s="191"/>
      <c r="I864" s="192"/>
      <c r="L864" s="194"/>
      <c r="M864" s="194"/>
    </row>
    <row r="865" ht="36.75" customHeight="1">
      <c r="D865" s="191"/>
      <c r="I865" s="192"/>
      <c r="L865" s="194"/>
      <c r="M865" s="194"/>
    </row>
    <row r="866" ht="36.75" customHeight="1">
      <c r="D866" s="191"/>
      <c r="I866" s="192"/>
      <c r="L866" s="194"/>
      <c r="M866" s="194"/>
    </row>
    <row r="867" ht="36.75" customHeight="1">
      <c r="D867" s="191"/>
      <c r="I867" s="192"/>
      <c r="L867" s="194"/>
      <c r="M867" s="194"/>
    </row>
    <row r="868" ht="36.75" customHeight="1">
      <c r="D868" s="191"/>
      <c r="I868" s="192"/>
      <c r="L868" s="194"/>
      <c r="M868" s="194"/>
    </row>
    <row r="869" ht="36.75" customHeight="1">
      <c r="D869" s="191"/>
      <c r="I869" s="192"/>
      <c r="L869" s="194"/>
      <c r="M869" s="194"/>
    </row>
    <row r="870" ht="36.75" customHeight="1">
      <c r="D870" s="191"/>
      <c r="I870" s="192"/>
      <c r="L870" s="194"/>
      <c r="M870" s="194"/>
    </row>
    <row r="871" ht="36.75" customHeight="1">
      <c r="D871" s="191"/>
      <c r="I871" s="192"/>
      <c r="L871" s="194"/>
      <c r="M871" s="194"/>
    </row>
    <row r="872" ht="36.75" customHeight="1">
      <c r="D872" s="191"/>
      <c r="I872" s="192"/>
      <c r="L872" s="194"/>
      <c r="M872" s="194"/>
    </row>
    <row r="873" ht="36.75" customHeight="1">
      <c r="D873" s="191"/>
      <c r="I873" s="192"/>
      <c r="L873" s="194"/>
      <c r="M873" s="194"/>
    </row>
    <row r="874" ht="36.75" customHeight="1">
      <c r="D874" s="191"/>
      <c r="I874" s="192"/>
      <c r="L874" s="194"/>
      <c r="M874" s="194"/>
    </row>
    <row r="875" ht="36.75" customHeight="1">
      <c r="D875" s="191"/>
      <c r="I875" s="192"/>
      <c r="L875" s="194"/>
      <c r="M875" s="194"/>
    </row>
    <row r="876" ht="36.75" customHeight="1">
      <c r="D876" s="191"/>
      <c r="I876" s="192"/>
      <c r="L876" s="194"/>
      <c r="M876" s="194"/>
    </row>
    <row r="877" ht="36.75" customHeight="1">
      <c r="D877" s="191"/>
      <c r="I877" s="192"/>
      <c r="L877" s="194"/>
      <c r="M877" s="194"/>
    </row>
    <row r="878" ht="36.75" customHeight="1">
      <c r="D878" s="191"/>
      <c r="I878" s="192"/>
      <c r="L878" s="194"/>
      <c r="M878" s="194"/>
    </row>
    <row r="879" ht="36.75" customHeight="1">
      <c r="D879" s="191"/>
      <c r="I879" s="192"/>
      <c r="L879" s="194"/>
      <c r="M879" s="194"/>
    </row>
    <row r="880" ht="36.75" customHeight="1">
      <c r="D880" s="191"/>
      <c r="I880" s="192"/>
      <c r="L880" s="194"/>
      <c r="M880" s="194"/>
    </row>
    <row r="881" ht="36.75" customHeight="1">
      <c r="D881" s="191"/>
      <c r="I881" s="192"/>
      <c r="L881" s="194"/>
      <c r="M881" s="194"/>
    </row>
    <row r="882" ht="36.75" customHeight="1">
      <c r="D882" s="191"/>
      <c r="I882" s="192"/>
      <c r="L882" s="194"/>
      <c r="M882" s="194"/>
    </row>
    <row r="883" ht="36.75" customHeight="1">
      <c r="D883" s="191"/>
      <c r="I883" s="192"/>
      <c r="L883" s="194"/>
      <c r="M883" s="194"/>
    </row>
    <row r="884" ht="36.75" customHeight="1">
      <c r="D884" s="191"/>
      <c r="I884" s="192"/>
      <c r="L884" s="194"/>
      <c r="M884" s="194"/>
    </row>
    <row r="885" ht="36.75" customHeight="1">
      <c r="D885" s="191"/>
      <c r="I885" s="192"/>
      <c r="L885" s="194"/>
      <c r="M885" s="194"/>
    </row>
    <row r="886" ht="36.75" customHeight="1">
      <c r="D886" s="191"/>
      <c r="I886" s="192"/>
      <c r="L886" s="194"/>
      <c r="M886" s="194"/>
    </row>
    <row r="887" ht="36.75" customHeight="1">
      <c r="D887" s="191"/>
      <c r="I887" s="192"/>
      <c r="L887" s="194"/>
      <c r="M887" s="194"/>
    </row>
    <row r="888" ht="36.75" customHeight="1">
      <c r="D888" s="191"/>
      <c r="I888" s="192"/>
      <c r="L888" s="194"/>
      <c r="M888" s="194"/>
    </row>
    <row r="889" ht="36.75" customHeight="1">
      <c r="D889" s="191"/>
      <c r="I889" s="192"/>
      <c r="L889" s="194"/>
      <c r="M889" s="194"/>
    </row>
    <row r="890" ht="36.75" customHeight="1">
      <c r="D890" s="191"/>
      <c r="I890" s="192"/>
      <c r="L890" s="194"/>
      <c r="M890" s="194"/>
    </row>
    <row r="891" ht="36.75" customHeight="1">
      <c r="D891" s="191"/>
      <c r="I891" s="192"/>
      <c r="L891" s="194"/>
      <c r="M891" s="194"/>
    </row>
    <row r="892" ht="36.75" customHeight="1">
      <c r="D892" s="191"/>
      <c r="I892" s="192"/>
      <c r="L892" s="194"/>
      <c r="M892" s="194"/>
    </row>
    <row r="893" ht="36.75" customHeight="1">
      <c r="D893" s="191"/>
      <c r="I893" s="192"/>
      <c r="L893" s="194"/>
      <c r="M893" s="194"/>
    </row>
    <row r="894" ht="36.75" customHeight="1">
      <c r="D894" s="191"/>
      <c r="I894" s="192"/>
      <c r="L894" s="194"/>
      <c r="M894" s="194"/>
    </row>
    <row r="895" ht="36.75" customHeight="1">
      <c r="D895" s="191"/>
      <c r="I895" s="192"/>
      <c r="L895" s="194"/>
      <c r="M895" s="194"/>
    </row>
    <row r="896" ht="36.75" customHeight="1">
      <c r="D896" s="191"/>
      <c r="I896" s="192"/>
      <c r="L896" s="194"/>
      <c r="M896" s="194"/>
    </row>
    <row r="897" ht="36.75" customHeight="1">
      <c r="D897" s="191"/>
      <c r="I897" s="192"/>
      <c r="L897" s="194"/>
      <c r="M897" s="194"/>
    </row>
    <row r="898" ht="36.75" customHeight="1">
      <c r="D898" s="191"/>
      <c r="I898" s="192"/>
      <c r="L898" s="194"/>
      <c r="M898" s="194"/>
    </row>
    <row r="899" ht="36.75" customHeight="1">
      <c r="D899" s="191"/>
      <c r="I899" s="192"/>
      <c r="L899" s="194"/>
      <c r="M899" s="194"/>
    </row>
    <row r="900" ht="36.75" customHeight="1">
      <c r="D900" s="191"/>
      <c r="I900" s="192"/>
      <c r="L900" s="194"/>
      <c r="M900" s="194"/>
    </row>
    <row r="901" ht="36.75" customHeight="1">
      <c r="D901" s="191"/>
      <c r="I901" s="192"/>
      <c r="L901" s="194"/>
      <c r="M901" s="194"/>
    </row>
    <row r="902" ht="36.75" customHeight="1">
      <c r="D902" s="191"/>
      <c r="I902" s="192"/>
      <c r="L902" s="194"/>
      <c r="M902" s="194"/>
    </row>
    <row r="903" ht="36.75" customHeight="1">
      <c r="D903" s="191"/>
      <c r="I903" s="192"/>
      <c r="L903" s="194"/>
      <c r="M903" s="194"/>
    </row>
    <row r="904" ht="36.75" customHeight="1">
      <c r="D904" s="191"/>
      <c r="I904" s="192"/>
      <c r="L904" s="194"/>
      <c r="M904" s="194"/>
    </row>
    <row r="905" ht="36.75" customHeight="1">
      <c r="D905" s="191"/>
      <c r="I905" s="192"/>
      <c r="L905" s="194"/>
      <c r="M905" s="194"/>
    </row>
    <row r="906" ht="36.75" customHeight="1">
      <c r="D906" s="191"/>
      <c r="I906" s="192"/>
      <c r="L906" s="194"/>
      <c r="M906" s="194"/>
    </row>
    <row r="907" ht="36.75" customHeight="1">
      <c r="D907" s="191"/>
      <c r="I907" s="192"/>
      <c r="L907" s="194"/>
      <c r="M907" s="194"/>
    </row>
    <row r="908" ht="36.75" customHeight="1">
      <c r="D908" s="191"/>
      <c r="I908" s="192"/>
      <c r="L908" s="194"/>
      <c r="M908" s="194"/>
    </row>
    <row r="909" ht="36.75" customHeight="1">
      <c r="D909" s="191"/>
      <c r="I909" s="192"/>
      <c r="L909" s="194"/>
      <c r="M909" s="194"/>
    </row>
    <row r="910" ht="36.75" customHeight="1">
      <c r="D910" s="191"/>
      <c r="I910" s="192"/>
      <c r="L910" s="194"/>
      <c r="M910" s="194"/>
    </row>
    <row r="911" ht="36.75" customHeight="1">
      <c r="D911" s="191"/>
      <c r="I911" s="192"/>
      <c r="L911" s="194"/>
      <c r="M911" s="194"/>
    </row>
    <row r="912" ht="36.75" customHeight="1">
      <c r="D912" s="191"/>
      <c r="I912" s="192"/>
      <c r="L912" s="194"/>
      <c r="M912" s="194"/>
    </row>
    <row r="913" ht="36.75" customHeight="1">
      <c r="D913" s="191"/>
      <c r="I913" s="192"/>
      <c r="L913" s="194"/>
      <c r="M913" s="194"/>
    </row>
    <row r="914" ht="36.75" customHeight="1">
      <c r="D914" s="191"/>
      <c r="I914" s="192"/>
      <c r="L914" s="194"/>
      <c r="M914" s="194"/>
    </row>
    <row r="915" ht="36.75" customHeight="1">
      <c r="D915" s="191"/>
      <c r="I915" s="192"/>
      <c r="L915" s="194"/>
      <c r="M915" s="194"/>
    </row>
    <row r="916" ht="36.75" customHeight="1">
      <c r="D916" s="191"/>
      <c r="I916" s="192"/>
      <c r="L916" s="194"/>
      <c r="M916" s="194"/>
    </row>
    <row r="917" ht="36.75" customHeight="1">
      <c r="D917" s="191"/>
      <c r="I917" s="192"/>
      <c r="L917" s="194"/>
      <c r="M917" s="194"/>
    </row>
    <row r="918" ht="36.75" customHeight="1">
      <c r="D918" s="191"/>
      <c r="I918" s="192"/>
      <c r="L918" s="194"/>
      <c r="M918" s="194"/>
    </row>
    <row r="919" ht="36.75" customHeight="1">
      <c r="D919" s="191"/>
      <c r="I919" s="192"/>
      <c r="L919" s="194"/>
      <c r="M919" s="194"/>
    </row>
    <row r="920" ht="36.75" customHeight="1">
      <c r="D920" s="191"/>
      <c r="I920" s="192"/>
      <c r="L920" s="194"/>
      <c r="M920" s="194"/>
    </row>
    <row r="921" ht="36.75" customHeight="1">
      <c r="D921" s="191"/>
      <c r="I921" s="192"/>
      <c r="L921" s="194"/>
      <c r="M921" s="194"/>
    </row>
    <row r="922" ht="36.75" customHeight="1">
      <c r="D922" s="191"/>
      <c r="I922" s="192"/>
      <c r="L922" s="194"/>
      <c r="M922" s="194"/>
    </row>
    <row r="923" ht="36.75" customHeight="1">
      <c r="D923" s="191"/>
      <c r="I923" s="192"/>
      <c r="L923" s="194"/>
      <c r="M923" s="194"/>
    </row>
    <row r="924" ht="36.75" customHeight="1">
      <c r="D924" s="191"/>
      <c r="I924" s="192"/>
      <c r="L924" s="194"/>
      <c r="M924" s="194"/>
    </row>
    <row r="925" ht="36.75" customHeight="1">
      <c r="D925" s="191"/>
      <c r="I925" s="192"/>
      <c r="L925" s="194"/>
      <c r="M925" s="194"/>
    </row>
    <row r="926" ht="36.75" customHeight="1">
      <c r="D926" s="191"/>
      <c r="I926" s="192"/>
      <c r="L926" s="194"/>
      <c r="M926" s="194"/>
    </row>
    <row r="927" ht="36.75" customHeight="1">
      <c r="D927" s="191"/>
      <c r="I927" s="192"/>
      <c r="L927" s="194"/>
      <c r="M927" s="194"/>
    </row>
    <row r="928" ht="36.75" customHeight="1">
      <c r="D928" s="191"/>
      <c r="I928" s="192"/>
      <c r="L928" s="194"/>
      <c r="M928" s="194"/>
    </row>
    <row r="929" ht="36.75" customHeight="1">
      <c r="D929" s="191"/>
      <c r="I929" s="192"/>
      <c r="L929" s="194"/>
      <c r="M929" s="194"/>
    </row>
    <row r="930" ht="36.75" customHeight="1">
      <c r="D930" s="191"/>
      <c r="I930" s="192"/>
      <c r="L930" s="194"/>
      <c r="M930" s="194"/>
    </row>
    <row r="931" ht="36.75" customHeight="1">
      <c r="D931" s="191"/>
      <c r="I931" s="192"/>
      <c r="L931" s="194"/>
      <c r="M931" s="194"/>
    </row>
    <row r="932" ht="36.75" customHeight="1">
      <c r="D932" s="191"/>
      <c r="I932" s="192"/>
      <c r="L932" s="194"/>
      <c r="M932" s="194"/>
    </row>
    <row r="933" ht="36.75" customHeight="1">
      <c r="D933" s="191"/>
      <c r="I933" s="192"/>
      <c r="L933" s="194"/>
      <c r="M933" s="194"/>
    </row>
    <row r="934" ht="36.75" customHeight="1">
      <c r="D934" s="191"/>
      <c r="I934" s="192"/>
      <c r="L934" s="194"/>
      <c r="M934" s="194"/>
    </row>
    <row r="935" ht="36.75" customHeight="1">
      <c r="D935" s="191"/>
      <c r="I935" s="192"/>
      <c r="L935" s="194"/>
      <c r="M935" s="194"/>
    </row>
    <row r="936" ht="36.75" customHeight="1">
      <c r="D936" s="191"/>
      <c r="I936" s="192"/>
      <c r="L936" s="194"/>
      <c r="M936" s="194"/>
    </row>
    <row r="937" ht="36.75" customHeight="1">
      <c r="D937" s="191"/>
      <c r="I937" s="192"/>
      <c r="L937" s="194"/>
      <c r="M937" s="194"/>
    </row>
    <row r="938" ht="36.75" customHeight="1">
      <c r="D938" s="191"/>
      <c r="I938" s="192"/>
      <c r="L938" s="194"/>
      <c r="M938" s="194"/>
    </row>
    <row r="939" ht="36.75" customHeight="1">
      <c r="D939" s="191"/>
      <c r="I939" s="192"/>
      <c r="L939" s="194"/>
      <c r="M939" s="194"/>
    </row>
    <row r="940" ht="36.75" customHeight="1">
      <c r="D940" s="191"/>
      <c r="I940" s="192"/>
      <c r="L940" s="194"/>
      <c r="M940" s="194"/>
    </row>
    <row r="941" ht="36.75" customHeight="1">
      <c r="D941" s="191"/>
      <c r="I941" s="192"/>
      <c r="L941" s="194"/>
      <c r="M941" s="194"/>
    </row>
    <row r="942" ht="36.75" customHeight="1">
      <c r="D942" s="191"/>
      <c r="I942" s="192"/>
      <c r="L942" s="194"/>
      <c r="M942" s="194"/>
    </row>
    <row r="943" ht="36.75" customHeight="1">
      <c r="D943" s="191"/>
      <c r="I943" s="192"/>
      <c r="L943" s="194"/>
      <c r="M943" s="194"/>
    </row>
    <row r="944" ht="36.75" customHeight="1">
      <c r="D944" s="191"/>
      <c r="I944" s="192"/>
      <c r="L944" s="194"/>
      <c r="M944" s="194"/>
    </row>
    <row r="945" ht="36.75" customHeight="1">
      <c r="D945" s="191"/>
      <c r="I945" s="192"/>
      <c r="L945" s="194"/>
      <c r="M945" s="194"/>
    </row>
    <row r="946" ht="36.75" customHeight="1">
      <c r="D946" s="191"/>
      <c r="I946" s="192"/>
      <c r="L946" s="194"/>
      <c r="M946" s="194"/>
    </row>
    <row r="947" ht="36.75" customHeight="1">
      <c r="D947" s="191"/>
      <c r="I947" s="192"/>
      <c r="L947" s="194"/>
      <c r="M947" s="194"/>
    </row>
    <row r="948" ht="36.75" customHeight="1">
      <c r="D948" s="191"/>
      <c r="I948" s="192"/>
      <c r="L948" s="194"/>
      <c r="M948" s="194"/>
    </row>
    <row r="949" ht="36.75" customHeight="1">
      <c r="D949" s="191"/>
      <c r="I949" s="192"/>
      <c r="L949" s="194"/>
      <c r="M949" s="194"/>
    </row>
    <row r="950" ht="36.75" customHeight="1">
      <c r="D950" s="191"/>
      <c r="I950" s="192"/>
      <c r="L950" s="194"/>
      <c r="M950" s="194"/>
    </row>
    <row r="951" ht="36.75" customHeight="1">
      <c r="D951" s="191"/>
      <c r="I951" s="192"/>
      <c r="L951" s="194"/>
      <c r="M951" s="194"/>
    </row>
    <row r="952" ht="36.75" customHeight="1">
      <c r="D952" s="191"/>
      <c r="I952" s="192"/>
      <c r="L952" s="194"/>
      <c r="M952" s="194"/>
    </row>
    <row r="953" ht="36.75" customHeight="1">
      <c r="D953" s="191"/>
      <c r="I953" s="192"/>
      <c r="L953" s="194"/>
      <c r="M953" s="194"/>
    </row>
    <row r="954" ht="36.75" customHeight="1">
      <c r="D954" s="191"/>
      <c r="I954" s="192"/>
      <c r="L954" s="194"/>
      <c r="M954" s="194"/>
    </row>
    <row r="955" ht="36.75" customHeight="1">
      <c r="D955" s="191"/>
      <c r="I955" s="192"/>
      <c r="L955" s="194"/>
      <c r="M955" s="194"/>
    </row>
    <row r="956" ht="36.75" customHeight="1">
      <c r="D956" s="191"/>
      <c r="I956" s="192"/>
      <c r="L956" s="194"/>
      <c r="M956" s="194"/>
    </row>
    <row r="957" ht="36.75" customHeight="1">
      <c r="D957" s="191"/>
      <c r="I957" s="192"/>
      <c r="L957" s="194"/>
      <c r="M957" s="194"/>
    </row>
    <row r="958" ht="36.75" customHeight="1">
      <c r="D958" s="191"/>
      <c r="I958" s="192"/>
      <c r="L958" s="194"/>
      <c r="M958" s="194"/>
    </row>
    <row r="959" ht="36.75" customHeight="1">
      <c r="D959" s="191"/>
      <c r="I959" s="192"/>
      <c r="L959" s="194"/>
      <c r="M959" s="194"/>
    </row>
    <row r="960" ht="36.75" customHeight="1">
      <c r="D960" s="191"/>
      <c r="I960" s="192"/>
      <c r="L960" s="194"/>
      <c r="M960" s="194"/>
    </row>
    <row r="961" ht="36.75" customHeight="1">
      <c r="D961" s="191"/>
      <c r="I961" s="192"/>
      <c r="L961" s="194"/>
      <c r="M961" s="194"/>
    </row>
    <row r="962" ht="36.75" customHeight="1">
      <c r="D962" s="191"/>
      <c r="I962" s="192"/>
      <c r="L962" s="194"/>
      <c r="M962" s="194"/>
    </row>
    <row r="963" ht="36.75" customHeight="1">
      <c r="D963" s="191"/>
      <c r="I963" s="192"/>
      <c r="L963" s="194"/>
      <c r="M963" s="194"/>
    </row>
    <row r="964" ht="36.75" customHeight="1">
      <c r="D964" s="191"/>
      <c r="I964" s="192"/>
      <c r="L964" s="194"/>
      <c r="M964" s="194"/>
    </row>
    <row r="965" ht="36.75" customHeight="1">
      <c r="D965" s="191"/>
      <c r="I965" s="192"/>
      <c r="L965" s="194"/>
      <c r="M965" s="194"/>
    </row>
    <row r="966" ht="36.75" customHeight="1">
      <c r="D966" s="191"/>
      <c r="I966" s="192"/>
      <c r="L966" s="194"/>
      <c r="M966" s="194"/>
    </row>
    <row r="967" ht="36.75" customHeight="1">
      <c r="D967" s="191"/>
      <c r="I967" s="192"/>
      <c r="L967" s="194"/>
      <c r="M967" s="194"/>
    </row>
    <row r="968" ht="36.75" customHeight="1">
      <c r="D968" s="191"/>
      <c r="I968" s="192"/>
      <c r="L968" s="194"/>
      <c r="M968" s="194"/>
    </row>
    <row r="969" ht="36.75" customHeight="1">
      <c r="D969" s="191"/>
      <c r="I969" s="192"/>
      <c r="L969" s="194"/>
      <c r="M969" s="194"/>
    </row>
    <row r="970" ht="36.75" customHeight="1">
      <c r="D970" s="191"/>
      <c r="I970" s="192"/>
      <c r="L970" s="194"/>
      <c r="M970" s="194"/>
    </row>
    <row r="971" ht="36.75" customHeight="1">
      <c r="D971" s="191"/>
      <c r="I971" s="192"/>
      <c r="L971" s="194"/>
      <c r="M971" s="194"/>
    </row>
    <row r="972" ht="36.75" customHeight="1">
      <c r="D972" s="191"/>
      <c r="I972" s="192"/>
      <c r="L972" s="194"/>
      <c r="M972" s="194"/>
    </row>
    <row r="973" ht="36.75" customHeight="1">
      <c r="D973" s="191"/>
      <c r="I973" s="192"/>
      <c r="L973" s="194"/>
      <c r="M973" s="194"/>
    </row>
    <row r="974" ht="36.75" customHeight="1">
      <c r="D974" s="191"/>
      <c r="I974" s="192"/>
      <c r="L974" s="194"/>
      <c r="M974" s="194"/>
    </row>
    <row r="975" ht="36.75" customHeight="1">
      <c r="D975" s="191"/>
      <c r="I975" s="192"/>
      <c r="L975" s="194"/>
      <c r="M975" s="194"/>
    </row>
    <row r="976" ht="36.75" customHeight="1">
      <c r="D976" s="191"/>
      <c r="I976" s="192"/>
      <c r="L976" s="194"/>
      <c r="M976" s="194"/>
    </row>
    <row r="977" ht="36.75" customHeight="1">
      <c r="D977" s="191"/>
      <c r="I977" s="192"/>
      <c r="L977" s="194"/>
      <c r="M977" s="194"/>
    </row>
    <row r="978" ht="36.75" customHeight="1">
      <c r="D978" s="191"/>
      <c r="I978" s="192"/>
      <c r="L978" s="194"/>
      <c r="M978" s="194"/>
    </row>
    <row r="979" ht="36.75" customHeight="1">
      <c r="D979" s="191"/>
      <c r="I979" s="192"/>
      <c r="L979" s="194"/>
      <c r="M979" s="194"/>
    </row>
    <row r="980" ht="36.75" customHeight="1">
      <c r="D980" s="191"/>
      <c r="I980" s="192"/>
      <c r="L980" s="194"/>
      <c r="M980" s="194"/>
    </row>
    <row r="981" ht="36.75" customHeight="1">
      <c r="D981" s="191"/>
      <c r="I981" s="192"/>
      <c r="L981" s="194"/>
      <c r="M981" s="194"/>
    </row>
    <row r="982" ht="36.75" customHeight="1">
      <c r="D982" s="191"/>
      <c r="I982" s="192"/>
      <c r="L982" s="194"/>
      <c r="M982" s="194"/>
    </row>
    <row r="983" ht="36.75" customHeight="1">
      <c r="D983" s="191"/>
      <c r="I983" s="192"/>
      <c r="L983" s="194"/>
      <c r="M983" s="194"/>
    </row>
    <row r="984" ht="36.75" customHeight="1">
      <c r="D984" s="191"/>
      <c r="I984" s="192"/>
      <c r="L984" s="194"/>
      <c r="M984" s="194"/>
    </row>
    <row r="985" ht="36.75" customHeight="1">
      <c r="D985" s="191"/>
      <c r="I985" s="192"/>
      <c r="L985" s="194"/>
      <c r="M985" s="194"/>
    </row>
    <row r="986" ht="36.75" customHeight="1">
      <c r="D986" s="191"/>
      <c r="I986" s="192"/>
      <c r="L986" s="194"/>
      <c r="M986" s="194"/>
    </row>
    <row r="987" ht="36.75" customHeight="1">
      <c r="D987" s="191"/>
      <c r="I987" s="192"/>
      <c r="L987" s="194"/>
      <c r="M987" s="194"/>
    </row>
    <row r="988" ht="36.75" customHeight="1">
      <c r="D988" s="191"/>
      <c r="I988" s="192"/>
      <c r="L988" s="194"/>
      <c r="M988" s="194"/>
    </row>
    <row r="989" ht="36.75" customHeight="1">
      <c r="D989" s="191"/>
      <c r="I989" s="192"/>
      <c r="L989" s="194"/>
      <c r="M989" s="194"/>
    </row>
    <row r="990" ht="36.75" customHeight="1">
      <c r="D990" s="191"/>
      <c r="I990" s="192"/>
      <c r="L990" s="194"/>
      <c r="M990" s="194"/>
    </row>
    <row r="991" ht="36.75" customHeight="1">
      <c r="D991" s="191"/>
      <c r="I991" s="192"/>
      <c r="L991" s="194"/>
      <c r="M991" s="194"/>
    </row>
    <row r="992" ht="36.75" customHeight="1">
      <c r="D992" s="191"/>
      <c r="I992" s="192"/>
      <c r="L992" s="194"/>
      <c r="M992" s="194"/>
    </row>
    <row r="993" ht="36.75" customHeight="1">
      <c r="D993" s="191"/>
      <c r="I993" s="192"/>
      <c r="L993" s="194"/>
      <c r="M993" s="194"/>
    </row>
    <row r="994" ht="36.75" customHeight="1">
      <c r="D994" s="191"/>
      <c r="I994" s="192"/>
      <c r="L994" s="194"/>
      <c r="M994" s="194"/>
    </row>
    <row r="995" ht="36.75" customHeight="1">
      <c r="D995" s="191"/>
      <c r="I995" s="192"/>
      <c r="L995" s="194"/>
      <c r="M995" s="194"/>
    </row>
    <row r="996" ht="36.75" customHeight="1">
      <c r="D996" s="191"/>
      <c r="I996" s="192"/>
      <c r="L996" s="194"/>
      <c r="M996" s="194"/>
    </row>
    <row r="997" ht="36.75" customHeight="1">
      <c r="D997" s="191"/>
      <c r="I997" s="192"/>
      <c r="L997" s="194"/>
      <c r="M997" s="194"/>
    </row>
    <row r="998" ht="36.75" customHeight="1">
      <c r="D998" s="191"/>
      <c r="I998" s="192"/>
      <c r="L998" s="194"/>
      <c r="M998" s="194"/>
    </row>
    <row r="999" ht="36.75" customHeight="1">
      <c r="D999" s="191"/>
      <c r="I999" s="192"/>
      <c r="L999" s="194"/>
      <c r="M999" s="194"/>
    </row>
    <row r="1000" ht="36.75" customHeight="1">
      <c r="D1000" s="191"/>
      <c r="I1000" s="192"/>
      <c r="L1000" s="194"/>
      <c r="M1000" s="194"/>
    </row>
  </sheetData>
  <mergeCells count="59">
    <mergeCell ref="V8:V9"/>
    <mergeCell ref="W8:W9"/>
    <mergeCell ref="A1:AB1"/>
    <mergeCell ref="A2:AB2"/>
    <mergeCell ref="A3:B7"/>
    <mergeCell ref="C3:AB7"/>
    <mergeCell ref="A8:A9"/>
    <mergeCell ref="B8:B9"/>
    <mergeCell ref="C8:G8"/>
    <mergeCell ref="AB8:AB9"/>
    <mergeCell ref="X8:X9"/>
    <mergeCell ref="Y8:AA9"/>
    <mergeCell ref="Y10:AA10"/>
    <mergeCell ref="Y11:AA11"/>
    <mergeCell ref="Y12:AA12"/>
    <mergeCell ref="Y13:AA13"/>
    <mergeCell ref="Y14:AA14"/>
    <mergeCell ref="Y15:AA15"/>
    <mergeCell ref="Y16:AA16"/>
    <mergeCell ref="Y17:AA17"/>
    <mergeCell ref="Y18:AA18"/>
    <mergeCell ref="Y19:AA19"/>
    <mergeCell ref="Y20:AA20"/>
    <mergeCell ref="Y21:AA21"/>
    <mergeCell ref="Y27:AA27"/>
    <mergeCell ref="Y28:AA28"/>
    <mergeCell ref="Y22:AA22"/>
    <mergeCell ref="Y23:AA23"/>
    <mergeCell ref="Y24:AA24"/>
    <mergeCell ref="Y25:AA25"/>
    <mergeCell ref="Y26:AA26"/>
    <mergeCell ref="AB27:AD27"/>
    <mergeCell ref="X28:X29"/>
    <mergeCell ref="Y29:AA29"/>
    <mergeCell ref="J8:J9"/>
    <mergeCell ref="K8:K9"/>
    <mergeCell ref="L8:L9"/>
    <mergeCell ref="M8:M9"/>
    <mergeCell ref="N8:N9"/>
    <mergeCell ref="O8:O9"/>
    <mergeCell ref="P8:P9"/>
    <mergeCell ref="Q8:Q9"/>
    <mergeCell ref="R8:R9"/>
    <mergeCell ref="S8:S9"/>
    <mergeCell ref="T8:T9"/>
    <mergeCell ref="U8:U9"/>
    <mergeCell ref="A20:A21"/>
    <mergeCell ref="A22:A24"/>
    <mergeCell ref="B23:B24"/>
    <mergeCell ref="A25:A29"/>
    <mergeCell ref="B25:B27"/>
    <mergeCell ref="B28:B29"/>
    <mergeCell ref="H8:H9"/>
    <mergeCell ref="I8:I9"/>
    <mergeCell ref="A10:A19"/>
    <mergeCell ref="B10:B12"/>
    <mergeCell ref="B13:B14"/>
    <mergeCell ref="B15:B16"/>
    <mergeCell ref="B20:B21"/>
  </mergeCells>
  <printOptions/>
  <pageMargins bottom="0.75" footer="0.0" header="0.0" left="0.7" right="0.7" top="0.75"/>
  <pageSetup fitToHeight="0" paperSize="8"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1.22" defaultRowHeight="15.0"/>
  <cols>
    <col customWidth="1" min="1" max="2" width="6.78"/>
    <col customWidth="1" min="3" max="4" width="29.89"/>
    <col customWidth="1" min="5" max="5" width="34.56"/>
    <col customWidth="1" min="6" max="6" width="14.11"/>
    <col customWidth="1" min="7" max="26" width="6.78"/>
  </cols>
  <sheetData>
    <row r="1" ht="16.5" customHeight="1">
      <c r="A1" s="1" t="s">
        <v>0</v>
      </c>
      <c r="B1" s="3" t="s">
        <v>2</v>
      </c>
      <c r="C1" s="6" t="s">
        <v>3</v>
      </c>
      <c r="D1" s="6" t="s">
        <v>4</v>
      </c>
      <c r="E1" s="6" t="s">
        <v>5</v>
      </c>
      <c r="F1" s="6" t="s">
        <v>6</v>
      </c>
    </row>
    <row r="2" ht="16.5" customHeight="1">
      <c r="A2" s="9"/>
      <c r="B2" s="9"/>
      <c r="C2" s="11" t="s">
        <v>7</v>
      </c>
      <c r="D2" s="15">
        <v>0.4875</v>
      </c>
      <c r="E2" s="11" t="s">
        <v>11</v>
      </c>
      <c r="F2" s="11"/>
    </row>
    <row r="3" ht="49.5" customHeight="1">
      <c r="A3" s="9"/>
      <c r="B3" s="9"/>
      <c r="C3" s="11" t="s">
        <v>13</v>
      </c>
      <c r="D3" s="17">
        <v>0.8268</v>
      </c>
      <c r="E3" s="19" t="s">
        <v>12</v>
      </c>
      <c r="F3" s="11"/>
    </row>
    <row r="4" ht="16.5" customHeight="1">
      <c r="A4" s="9"/>
      <c r="B4" s="9"/>
      <c r="C4" s="11" t="s">
        <v>17</v>
      </c>
      <c r="D4" s="17">
        <v>0.875</v>
      </c>
      <c r="E4" s="19" t="s">
        <v>12</v>
      </c>
      <c r="F4" s="11"/>
    </row>
    <row r="5" ht="90.75" customHeight="1">
      <c r="A5" s="9"/>
      <c r="B5" s="9"/>
      <c r="C5" s="23" t="s">
        <v>20</v>
      </c>
      <c r="D5" s="15">
        <v>0.5625</v>
      </c>
      <c r="E5" s="11" t="s">
        <v>22</v>
      </c>
      <c r="F5" s="26" t="s">
        <v>23</v>
      </c>
    </row>
    <row r="6" ht="90.75" customHeight="1">
      <c r="A6" s="9"/>
      <c r="B6" s="9"/>
      <c r="C6" s="23" t="s">
        <v>26</v>
      </c>
      <c r="D6" s="15">
        <v>0.3855</v>
      </c>
      <c r="E6" s="11" t="s">
        <v>27</v>
      </c>
      <c r="F6" s="21"/>
    </row>
    <row r="7" ht="16.5" customHeight="1">
      <c r="A7" s="9"/>
      <c r="B7" s="9"/>
      <c r="C7" s="11" t="s">
        <v>28</v>
      </c>
      <c r="D7" s="15">
        <v>0.125</v>
      </c>
      <c r="E7" s="11" t="s">
        <v>29</v>
      </c>
      <c r="F7" s="28"/>
    </row>
    <row r="8" ht="16.5" customHeight="1">
      <c r="A8" s="9"/>
      <c r="B8" s="9"/>
      <c r="C8" s="11" t="s">
        <v>32</v>
      </c>
      <c r="D8" s="17">
        <v>0.9683</v>
      </c>
      <c r="E8" s="19" t="s">
        <v>12</v>
      </c>
      <c r="F8" s="28"/>
    </row>
    <row r="9" ht="16.5" customHeight="1">
      <c r="A9" s="9"/>
      <c r="B9" s="9"/>
      <c r="C9" s="11" t="s">
        <v>33</v>
      </c>
      <c r="D9" s="17">
        <v>0.8388</v>
      </c>
      <c r="E9" s="19" t="s">
        <v>12</v>
      </c>
      <c r="F9" s="28"/>
    </row>
    <row r="10" ht="16.5" customHeight="1">
      <c r="A10" s="9"/>
      <c r="B10" s="9"/>
      <c r="C10" s="11" t="s">
        <v>34</v>
      </c>
      <c r="D10" s="17">
        <v>0.9908</v>
      </c>
      <c r="E10" s="19" t="s">
        <v>12</v>
      </c>
      <c r="F10" s="28"/>
    </row>
    <row r="11" ht="16.5" customHeight="1">
      <c r="A11" s="9"/>
      <c r="B11" s="9"/>
      <c r="C11" s="11" t="s">
        <v>36</v>
      </c>
      <c r="D11" s="17">
        <v>0.7482</v>
      </c>
      <c r="E11" s="11" t="s">
        <v>37</v>
      </c>
      <c r="F11" s="28"/>
    </row>
    <row r="12" ht="16.5" customHeight="1">
      <c r="A12" s="9"/>
      <c r="B12" s="9"/>
      <c r="C12" s="11" t="s">
        <v>38</v>
      </c>
      <c r="D12" s="17">
        <v>0.9277</v>
      </c>
      <c r="E12" s="11" t="s">
        <v>40</v>
      </c>
      <c r="F12" s="28"/>
    </row>
    <row r="13" ht="16.5" customHeight="1">
      <c r="A13" s="9"/>
      <c r="B13" s="9"/>
      <c r="C13" s="11" t="s">
        <v>41</v>
      </c>
      <c r="D13" s="17">
        <v>0.892</v>
      </c>
      <c r="E13" s="19" t="s">
        <v>12</v>
      </c>
      <c r="F13" s="28"/>
    </row>
    <row r="14" ht="16.5" customHeight="1">
      <c r="A14" s="9"/>
      <c r="B14" s="9"/>
      <c r="C14" s="11" t="s">
        <v>42</v>
      </c>
      <c r="D14" s="17">
        <v>0.9333</v>
      </c>
      <c r="E14" s="19" t="s">
        <v>12</v>
      </c>
      <c r="F14" s="28"/>
    </row>
    <row r="15" ht="16.5" customHeight="1">
      <c r="A15" s="9"/>
      <c r="B15" s="9"/>
      <c r="C15" s="11" t="s">
        <v>43</v>
      </c>
      <c r="D15" s="15">
        <v>0.3333</v>
      </c>
      <c r="E15" s="11" t="s">
        <v>44</v>
      </c>
      <c r="F15" s="28"/>
    </row>
    <row r="16" ht="16.5" customHeight="1">
      <c r="A16" s="9"/>
      <c r="B16" s="9"/>
      <c r="C16" s="11" t="s">
        <v>45</v>
      </c>
      <c r="D16" s="15">
        <v>0.0</v>
      </c>
      <c r="E16" s="11" t="s">
        <v>44</v>
      </c>
      <c r="F16" s="28"/>
    </row>
    <row r="17" ht="16.5" customHeight="1">
      <c r="A17" s="9"/>
      <c r="B17" s="9"/>
      <c r="C17" s="11" t="s">
        <v>46</v>
      </c>
      <c r="D17" s="15">
        <v>0.0</v>
      </c>
      <c r="E17" s="11" t="s">
        <v>47</v>
      </c>
      <c r="F17" s="28"/>
    </row>
    <row r="18" ht="16.5" customHeight="1">
      <c r="A18" s="9"/>
      <c r="B18" s="21"/>
      <c r="C18" s="11" t="s">
        <v>48</v>
      </c>
      <c r="D18" s="15">
        <v>0.0</v>
      </c>
      <c r="E18" s="11" t="s">
        <v>49</v>
      </c>
      <c r="F18" s="28"/>
    </row>
    <row r="19" ht="90.75" customHeight="1">
      <c r="A19" s="9"/>
      <c r="B19" s="3" t="s">
        <v>21</v>
      </c>
      <c r="C19" s="23" t="s">
        <v>51</v>
      </c>
      <c r="D19" s="17">
        <v>0.885</v>
      </c>
      <c r="E19" s="19" t="s">
        <v>12</v>
      </c>
      <c r="F19" s="26" t="s">
        <v>23</v>
      </c>
    </row>
    <row r="20" ht="90.75" customHeight="1">
      <c r="A20" s="21"/>
      <c r="B20" s="21"/>
      <c r="C20" s="23" t="s">
        <v>54</v>
      </c>
      <c r="D20" s="17">
        <v>0.818</v>
      </c>
      <c r="E20" s="19" t="s">
        <v>12</v>
      </c>
      <c r="F20" s="21"/>
    </row>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5">
    <mergeCell ref="A1:A20"/>
    <mergeCell ref="B1:B18"/>
    <mergeCell ref="F5:F6"/>
    <mergeCell ref="B19:B20"/>
    <mergeCell ref="F19:F20"/>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2" width="6.78"/>
    <col customWidth="1" min="3" max="4" width="29.89"/>
    <col customWidth="1" min="5" max="5" width="34.56"/>
    <col customWidth="1" min="6" max="6" width="14.11"/>
    <col customWidth="1" min="7" max="26" width="6.78"/>
  </cols>
  <sheetData>
    <row r="1" ht="16.5" customHeight="1">
      <c r="A1" s="5"/>
      <c r="B1" s="7"/>
      <c r="C1" s="8" t="s">
        <v>3</v>
      </c>
      <c r="D1" s="8" t="s">
        <v>4</v>
      </c>
      <c r="E1" s="8" t="s">
        <v>5</v>
      </c>
      <c r="F1" s="8" t="s">
        <v>6</v>
      </c>
    </row>
    <row r="2" ht="16.5" customHeight="1">
      <c r="A2" s="12" t="s">
        <v>8</v>
      </c>
      <c r="B2" s="13" t="s">
        <v>2</v>
      </c>
      <c r="C2" s="11" t="s">
        <v>10</v>
      </c>
      <c r="D2" s="17">
        <v>0.9469</v>
      </c>
      <c r="E2" s="11" t="s">
        <v>12</v>
      </c>
      <c r="F2" s="11"/>
    </row>
    <row r="3" ht="60.0" customHeight="1">
      <c r="A3" s="18"/>
      <c r="B3" s="20" t="s">
        <v>15</v>
      </c>
      <c r="C3" s="11" t="s">
        <v>16</v>
      </c>
      <c r="D3" s="17">
        <v>0.9294</v>
      </c>
      <c r="E3" s="19" t="s">
        <v>12</v>
      </c>
      <c r="F3" s="11"/>
    </row>
    <row r="4" ht="60.0" customHeight="1">
      <c r="A4" s="18"/>
      <c r="B4" s="21"/>
      <c r="C4" s="11" t="s">
        <v>19</v>
      </c>
      <c r="D4" s="17">
        <v>0.8515</v>
      </c>
      <c r="E4" s="19" t="s">
        <v>12</v>
      </c>
      <c r="F4" s="11"/>
    </row>
    <row r="5" ht="16.5" customHeight="1">
      <c r="A5" s="18"/>
      <c r="B5" s="25" t="s">
        <v>21</v>
      </c>
      <c r="C5" s="11" t="s">
        <v>25</v>
      </c>
      <c r="D5" s="17">
        <v>0.9818</v>
      </c>
      <c r="E5" s="19" t="s">
        <v>12</v>
      </c>
      <c r="F5" s="11"/>
    </row>
    <row r="6" ht="60.0" customHeight="1">
      <c r="A6" s="18"/>
      <c r="B6" s="31" t="s">
        <v>30</v>
      </c>
      <c r="C6" s="11" t="s">
        <v>35</v>
      </c>
      <c r="D6" s="17">
        <v>0.9938</v>
      </c>
      <c r="E6" s="19" t="s">
        <v>12</v>
      </c>
      <c r="F6" s="28"/>
    </row>
    <row r="7" ht="60.0" customHeight="1">
      <c r="A7" s="32"/>
      <c r="B7" s="21"/>
      <c r="C7" s="11" t="s">
        <v>39</v>
      </c>
      <c r="D7" s="17">
        <v>0.8275</v>
      </c>
      <c r="E7" s="19" t="s">
        <v>12</v>
      </c>
      <c r="F7" s="28"/>
    </row>
    <row r="8" ht="16.5" customHeight="1"/>
    <row r="9" ht="16.5" customHeight="1"/>
    <row r="10" ht="16.5" customHeight="1"/>
    <row r="11" ht="16.5" customHeight="1"/>
    <row r="12" ht="16.5" customHeight="1"/>
    <row r="13" ht="16.5" customHeight="1"/>
    <row r="14" ht="16.5" customHeight="1"/>
    <row r="15" ht="16.5" customHeight="1"/>
    <row r="16" ht="16.5" customHeight="1"/>
    <row r="17" ht="16.5" customHeight="1"/>
    <row r="18" ht="16.5" customHeight="1"/>
    <row r="19" ht="16.5" customHeight="1"/>
    <row r="20" ht="16.5" customHeight="1"/>
    <row r="21" ht="16.5" customHeight="1"/>
    <row r="22" ht="16.5" customHeight="1"/>
    <row r="23" ht="16.5" customHeight="1"/>
    <row r="24" ht="16.5" customHeight="1"/>
    <row r="25" ht="16.5" customHeight="1"/>
    <row r="26" ht="16.5" customHeight="1"/>
    <row r="27" ht="16.5" customHeight="1"/>
    <row r="28" ht="16.5" customHeight="1"/>
    <row r="29" ht="16.5" customHeight="1"/>
    <row r="30" ht="16.5" customHeight="1"/>
    <row r="31" ht="16.5" customHeight="1"/>
    <row r="32" ht="16.5" customHeight="1"/>
    <row r="33" ht="16.5" customHeight="1"/>
    <row r="34" ht="16.5" customHeight="1"/>
    <row r="35" ht="16.5" customHeight="1"/>
    <row r="36" ht="16.5" customHeight="1"/>
    <row r="37" ht="16.5" customHeight="1"/>
    <row r="38" ht="16.5" customHeight="1"/>
    <row r="39" ht="16.5" customHeight="1"/>
    <row r="40" ht="16.5" customHeight="1"/>
    <row r="41" ht="16.5" customHeight="1"/>
    <row r="42" ht="16.5" customHeight="1"/>
    <row r="43" ht="16.5" customHeight="1"/>
    <row r="44" ht="16.5" customHeight="1"/>
    <row r="45" ht="16.5" customHeight="1"/>
    <row r="46" ht="16.5" customHeight="1"/>
    <row r="47" ht="16.5" customHeight="1"/>
    <row r="48" ht="16.5" customHeight="1"/>
    <row r="49" ht="16.5" customHeight="1"/>
    <row r="50" ht="16.5" customHeight="1"/>
    <row r="51" ht="16.5" customHeight="1"/>
    <row r="52" ht="16.5" customHeight="1"/>
    <row r="53" ht="16.5" customHeight="1"/>
    <row r="54" ht="16.5" customHeight="1"/>
    <row r="55" ht="16.5" customHeight="1"/>
    <row r="56" ht="16.5" customHeight="1"/>
    <row r="57" ht="16.5" customHeight="1"/>
    <row r="58" ht="16.5" customHeight="1"/>
    <row r="59" ht="16.5" customHeight="1"/>
    <row r="60" ht="16.5" customHeight="1"/>
    <row r="61" ht="16.5" customHeight="1"/>
    <row r="62" ht="16.5" customHeight="1"/>
    <row r="63" ht="16.5" customHeight="1"/>
    <row r="64" ht="16.5" customHeight="1"/>
    <row r="65" ht="16.5" customHeight="1"/>
    <row r="66" ht="16.5" customHeight="1"/>
    <row r="67" ht="16.5" customHeight="1"/>
    <row r="68" ht="16.5" customHeight="1"/>
    <row r="69" ht="16.5" customHeight="1"/>
    <row r="70" ht="16.5" customHeight="1"/>
    <row r="71" ht="16.5" customHeight="1"/>
    <row r="72" ht="16.5" customHeight="1"/>
    <row r="73" ht="16.5" customHeight="1"/>
    <row r="74" ht="16.5" customHeight="1"/>
    <row r="75" ht="16.5" customHeight="1"/>
    <row r="76" ht="16.5" customHeight="1"/>
    <row r="77" ht="16.5" customHeight="1"/>
    <row r="78" ht="16.5" customHeight="1"/>
    <row r="79" ht="16.5" customHeight="1"/>
    <row r="80" ht="16.5" customHeight="1"/>
    <row r="81" ht="16.5" customHeight="1"/>
    <row r="82" ht="16.5" customHeight="1"/>
    <row r="83" ht="16.5" customHeight="1"/>
    <row r="84" ht="16.5" customHeight="1"/>
    <row r="85" ht="16.5" customHeight="1"/>
    <row r="86" ht="16.5" customHeight="1"/>
    <row r="87" ht="16.5" customHeight="1"/>
    <row r="88" ht="16.5" customHeight="1"/>
    <row r="89" ht="16.5" customHeight="1"/>
    <row r="90" ht="16.5" customHeight="1"/>
    <row r="91" ht="16.5" customHeight="1"/>
    <row r="92" ht="16.5" customHeight="1"/>
    <row r="93" ht="16.5" customHeight="1"/>
    <row r="94" ht="16.5" customHeight="1"/>
    <row r="95" ht="16.5" customHeight="1"/>
    <row r="96" ht="16.5" customHeight="1"/>
    <row r="97" ht="16.5" customHeight="1"/>
    <row r="98" ht="16.5" customHeight="1"/>
    <row r="99" ht="16.5" customHeight="1"/>
    <row r="100" ht="16.5" customHeight="1"/>
    <row r="101" ht="16.5" customHeight="1"/>
    <row r="102" ht="16.5" customHeight="1"/>
    <row r="103" ht="16.5" customHeight="1"/>
    <row r="104" ht="16.5" customHeight="1"/>
    <row r="105" ht="16.5" customHeight="1"/>
    <row r="106" ht="16.5" customHeight="1"/>
    <row r="107" ht="16.5" customHeight="1"/>
    <row r="108" ht="16.5" customHeight="1"/>
    <row r="109" ht="16.5" customHeight="1"/>
    <row r="110" ht="16.5" customHeight="1"/>
    <row r="111" ht="16.5" customHeight="1"/>
    <row r="112" ht="16.5" customHeight="1"/>
    <row r="113" ht="16.5" customHeight="1"/>
    <row r="114" ht="16.5" customHeight="1"/>
    <row r="115" ht="16.5" customHeight="1"/>
    <row r="116" ht="16.5" customHeight="1"/>
    <row r="117" ht="16.5" customHeight="1"/>
    <row r="118" ht="16.5" customHeight="1"/>
    <row r="119" ht="16.5" customHeight="1"/>
    <row r="120" ht="16.5" customHeight="1"/>
    <row r="121" ht="16.5" customHeight="1"/>
    <row r="122" ht="16.5" customHeight="1"/>
    <row r="123" ht="16.5" customHeight="1"/>
    <row r="124" ht="16.5" customHeight="1"/>
    <row r="125" ht="16.5" customHeight="1"/>
    <row r="126" ht="16.5" customHeight="1"/>
    <row r="127" ht="16.5" customHeight="1"/>
    <row r="128" ht="16.5" customHeight="1"/>
    <row r="129" ht="16.5" customHeight="1"/>
    <row r="130" ht="16.5" customHeight="1"/>
    <row r="131" ht="16.5" customHeight="1"/>
    <row r="132" ht="16.5" customHeight="1"/>
    <row r="133" ht="16.5" customHeight="1"/>
    <row r="134" ht="16.5" customHeight="1"/>
    <row r="135" ht="16.5" customHeight="1"/>
    <row r="136" ht="16.5" customHeight="1"/>
    <row r="137" ht="16.5" customHeight="1"/>
    <row r="138" ht="16.5" customHeight="1"/>
    <row r="139" ht="16.5" customHeight="1"/>
    <row r="140" ht="16.5" customHeight="1"/>
    <row r="141" ht="16.5" customHeight="1"/>
    <row r="142" ht="16.5" customHeight="1"/>
    <row r="143" ht="16.5" customHeight="1"/>
    <row r="144" ht="16.5" customHeight="1"/>
    <row r="145" ht="16.5" customHeight="1"/>
    <row r="146" ht="16.5" customHeight="1"/>
    <row r="147" ht="16.5" customHeight="1"/>
    <row r="148" ht="16.5" customHeight="1"/>
    <row r="149" ht="16.5" customHeight="1"/>
    <row r="150" ht="16.5" customHeight="1"/>
    <row r="151" ht="16.5" customHeight="1"/>
    <row r="152" ht="16.5" customHeight="1"/>
    <row r="153" ht="16.5" customHeight="1"/>
    <row r="154" ht="16.5" customHeight="1"/>
    <row r="155" ht="16.5" customHeight="1"/>
    <row r="156" ht="16.5" customHeight="1"/>
    <row r="157" ht="16.5" customHeight="1"/>
    <row r="158" ht="16.5" customHeight="1"/>
    <row r="159" ht="16.5" customHeight="1"/>
    <row r="160" ht="16.5" customHeight="1"/>
    <row r="161" ht="16.5" customHeight="1"/>
    <row r="162" ht="16.5" customHeight="1"/>
    <row r="163" ht="16.5" customHeight="1"/>
    <row r="164" ht="16.5" customHeight="1"/>
    <row r="165" ht="16.5" customHeight="1"/>
    <row r="166" ht="16.5" customHeight="1"/>
    <row r="167" ht="16.5" customHeight="1"/>
    <row r="168" ht="16.5" customHeight="1"/>
    <row r="169" ht="16.5" customHeight="1"/>
    <row r="170" ht="16.5" customHeight="1"/>
    <row r="171" ht="16.5" customHeight="1"/>
    <row r="172" ht="16.5" customHeight="1"/>
    <row r="173" ht="16.5" customHeight="1"/>
    <row r="174" ht="16.5" customHeight="1"/>
    <row r="175" ht="16.5" customHeight="1"/>
    <row r="176" ht="16.5" customHeight="1"/>
    <row r="177" ht="16.5" customHeight="1"/>
    <row r="178" ht="16.5" customHeight="1"/>
    <row r="179" ht="16.5" customHeight="1"/>
    <row r="180" ht="16.5" customHeight="1"/>
    <row r="181" ht="16.5" customHeight="1"/>
    <row r="182" ht="16.5" customHeight="1"/>
    <row r="183" ht="16.5" customHeight="1"/>
    <row r="184" ht="16.5" customHeight="1"/>
    <row r="185" ht="16.5" customHeight="1"/>
    <row r="186" ht="16.5" customHeight="1"/>
    <row r="187" ht="16.5" customHeight="1"/>
    <row r="188" ht="16.5" customHeight="1"/>
    <row r="189" ht="16.5" customHeight="1"/>
    <row r="190" ht="16.5" customHeight="1"/>
    <row r="191" ht="16.5" customHeight="1"/>
    <row r="192" ht="16.5" customHeight="1"/>
    <row r="193" ht="16.5" customHeight="1"/>
    <row r="194" ht="16.5" customHeight="1"/>
    <row r="195" ht="16.5" customHeight="1"/>
    <row r="196" ht="16.5" customHeight="1"/>
    <row r="197" ht="16.5" customHeight="1"/>
    <row r="198" ht="16.5" customHeight="1"/>
    <row r="199" ht="16.5" customHeight="1"/>
    <row r="200" ht="16.5" customHeight="1"/>
    <row r="201" ht="16.5" customHeight="1"/>
    <row r="202" ht="16.5" customHeight="1"/>
    <row r="203" ht="16.5" customHeight="1"/>
    <row r="204" ht="16.5" customHeight="1"/>
    <row r="205" ht="16.5" customHeight="1"/>
    <row r="206" ht="16.5" customHeight="1"/>
    <row r="207" ht="16.5" customHeight="1"/>
    <row r="208" ht="16.5" customHeight="1"/>
    <row r="209" ht="16.5" customHeight="1"/>
    <row r="210" ht="16.5" customHeight="1"/>
    <row r="211" ht="16.5" customHeight="1"/>
    <row r="212" ht="16.5" customHeight="1"/>
    <row r="213" ht="16.5" customHeight="1"/>
    <row r="214" ht="16.5" customHeight="1"/>
    <row r="215" ht="16.5" customHeight="1"/>
    <row r="216" ht="16.5" customHeight="1"/>
    <row r="217" ht="16.5" customHeight="1"/>
    <row r="218" ht="16.5" customHeight="1"/>
    <row r="219" ht="16.5" customHeight="1"/>
    <row r="220" ht="16.5" customHeight="1"/>
    <row r="221" ht="16.5" customHeight="1"/>
    <row r="222" ht="16.5" customHeight="1"/>
    <row r="223" ht="16.5" customHeight="1"/>
    <row r="224" ht="16.5" customHeight="1"/>
    <row r="225" ht="16.5" customHeight="1"/>
    <row r="226" ht="16.5" customHeight="1"/>
    <row r="227" ht="16.5" customHeight="1"/>
    <row r="228" ht="16.5" customHeight="1"/>
    <row r="229" ht="16.5" customHeight="1"/>
    <row r="230" ht="16.5" customHeight="1"/>
    <row r="231" ht="16.5" customHeight="1"/>
    <row r="232" ht="16.5" customHeight="1"/>
    <row r="233" ht="16.5" customHeight="1"/>
    <row r="234" ht="16.5" customHeight="1"/>
    <row r="235" ht="16.5" customHeight="1"/>
    <row r="236" ht="16.5" customHeight="1"/>
    <row r="237" ht="16.5" customHeight="1"/>
    <row r="238" ht="16.5" customHeight="1"/>
    <row r="239" ht="16.5" customHeight="1"/>
    <row r="240" ht="16.5" customHeight="1"/>
    <row r="241" ht="16.5" customHeight="1"/>
    <row r="242" ht="16.5" customHeight="1"/>
    <row r="243" ht="16.5" customHeight="1"/>
    <row r="244" ht="16.5" customHeight="1"/>
    <row r="245" ht="16.5" customHeight="1"/>
    <row r="246" ht="16.5" customHeight="1"/>
    <row r="247" ht="16.5" customHeight="1"/>
    <row r="248" ht="16.5" customHeight="1"/>
    <row r="249" ht="16.5" customHeight="1"/>
    <row r="250" ht="16.5" customHeight="1"/>
    <row r="251" ht="16.5" customHeight="1"/>
    <row r="252" ht="16.5" customHeight="1"/>
    <row r="253" ht="16.5" customHeight="1"/>
    <row r="254" ht="16.5" customHeight="1"/>
    <row r="255" ht="16.5" customHeight="1"/>
    <row r="256" ht="16.5" customHeight="1"/>
    <row r="257" ht="16.5" customHeight="1"/>
    <row r="258" ht="16.5" customHeight="1"/>
    <row r="259" ht="16.5" customHeight="1"/>
    <row r="260" ht="16.5" customHeight="1"/>
    <row r="261" ht="16.5" customHeight="1"/>
    <row r="262" ht="16.5" customHeight="1"/>
    <row r="263" ht="16.5" customHeight="1"/>
    <row r="264" ht="16.5" customHeight="1"/>
    <row r="265" ht="16.5" customHeight="1"/>
    <row r="266" ht="16.5" customHeight="1"/>
    <row r="267" ht="16.5" customHeight="1"/>
    <row r="268" ht="16.5" customHeight="1"/>
    <row r="269" ht="16.5" customHeight="1"/>
    <row r="270" ht="16.5" customHeight="1"/>
    <row r="271" ht="16.5" customHeight="1"/>
    <row r="272" ht="16.5" customHeight="1"/>
    <row r="273" ht="16.5" customHeight="1"/>
    <row r="274" ht="16.5" customHeight="1"/>
    <row r="275" ht="16.5" customHeight="1"/>
    <row r="276" ht="16.5" customHeight="1"/>
    <row r="277" ht="16.5" customHeight="1"/>
    <row r="278" ht="16.5" customHeight="1"/>
    <row r="279" ht="16.5" customHeight="1"/>
    <row r="280" ht="16.5" customHeight="1"/>
    <row r="281" ht="16.5" customHeight="1"/>
    <row r="282" ht="16.5" customHeight="1"/>
    <row r="283" ht="16.5" customHeight="1"/>
    <row r="284" ht="16.5" customHeight="1"/>
    <row r="285" ht="16.5" customHeight="1"/>
    <row r="286" ht="16.5" customHeight="1"/>
    <row r="287" ht="16.5" customHeight="1"/>
    <row r="288" ht="16.5" customHeight="1"/>
    <row r="289" ht="16.5" customHeight="1"/>
    <row r="290" ht="16.5" customHeight="1"/>
    <row r="291" ht="16.5" customHeight="1"/>
    <row r="292" ht="16.5" customHeight="1"/>
    <row r="293" ht="16.5" customHeight="1"/>
    <row r="294" ht="16.5" customHeight="1"/>
    <row r="295" ht="16.5" customHeight="1"/>
    <row r="296" ht="16.5" customHeight="1"/>
    <row r="297" ht="16.5" customHeight="1"/>
    <row r="298" ht="16.5" customHeight="1"/>
    <row r="299" ht="16.5" customHeight="1"/>
    <row r="300" ht="16.5" customHeight="1"/>
    <row r="301" ht="16.5" customHeight="1"/>
    <row r="302" ht="16.5" customHeight="1"/>
    <row r="303" ht="16.5" customHeight="1"/>
    <row r="304" ht="16.5" customHeight="1"/>
    <row r="305" ht="16.5" customHeight="1"/>
    <row r="306" ht="16.5" customHeight="1"/>
    <row r="307" ht="16.5" customHeight="1"/>
    <row r="308" ht="16.5" customHeight="1"/>
    <row r="309" ht="16.5" customHeight="1"/>
    <row r="310" ht="16.5" customHeight="1"/>
    <row r="311" ht="16.5" customHeight="1"/>
    <row r="312" ht="16.5" customHeight="1"/>
    <row r="313" ht="16.5" customHeight="1"/>
    <row r="314" ht="16.5" customHeight="1"/>
    <row r="315" ht="16.5" customHeight="1"/>
    <row r="316" ht="16.5" customHeight="1"/>
    <row r="317" ht="16.5" customHeight="1"/>
    <row r="318" ht="16.5" customHeight="1"/>
    <row r="319" ht="16.5" customHeight="1"/>
    <row r="320" ht="16.5" customHeight="1"/>
    <row r="321" ht="16.5" customHeight="1"/>
    <row r="322" ht="16.5" customHeight="1"/>
    <row r="323" ht="16.5" customHeight="1"/>
    <row r="324" ht="16.5" customHeight="1"/>
    <row r="325" ht="16.5" customHeight="1"/>
    <row r="326" ht="16.5" customHeight="1"/>
    <row r="327" ht="16.5" customHeight="1"/>
    <row r="328" ht="16.5" customHeight="1"/>
    <row r="329" ht="16.5" customHeight="1"/>
    <row r="330" ht="16.5" customHeight="1"/>
    <row r="331" ht="16.5" customHeight="1"/>
    <row r="332" ht="16.5" customHeight="1"/>
    <row r="333" ht="16.5" customHeight="1"/>
    <row r="334" ht="16.5" customHeight="1"/>
    <row r="335" ht="16.5" customHeight="1"/>
    <row r="336" ht="16.5" customHeight="1"/>
    <row r="337" ht="16.5" customHeight="1"/>
    <row r="338" ht="16.5" customHeight="1"/>
    <row r="339" ht="16.5" customHeight="1"/>
    <row r="340" ht="16.5" customHeight="1"/>
    <row r="341" ht="16.5" customHeight="1"/>
    <row r="342" ht="16.5" customHeight="1"/>
    <row r="343" ht="16.5" customHeight="1"/>
    <row r="344" ht="16.5" customHeight="1"/>
    <row r="345" ht="16.5" customHeight="1"/>
    <row r="346" ht="16.5" customHeight="1"/>
    <row r="347" ht="16.5" customHeight="1"/>
    <row r="348" ht="16.5" customHeight="1"/>
    <row r="349" ht="16.5" customHeight="1"/>
    <row r="350" ht="16.5" customHeight="1"/>
    <row r="351" ht="16.5" customHeight="1"/>
    <row r="352" ht="16.5" customHeight="1"/>
    <row r="353" ht="16.5" customHeight="1"/>
    <row r="354" ht="16.5" customHeight="1"/>
    <row r="355" ht="16.5" customHeight="1"/>
    <row r="356" ht="16.5" customHeight="1"/>
    <row r="357" ht="16.5" customHeight="1"/>
    <row r="358" ht="16.5" customHeight="1"/>
    <row r="359" ht="16.5" customHeight="1"/>
    <row r="360" ht="16.5" customHeight="1"/>
    <row r="361" ht="16.5" customHeight="1"/>
    <row r="362" ht="16.5" customHeight="1"/>
    <row r="363" ht="16.5" customHeight="1"/>
    <row r="364" ht="16.5" customHeight="1"/>
    <row r="365" ht="16.5" customHeight="1"/>
    <row r="366" ht="16.5" customHeight="1"/>
    <row r="367" ht="16.5" customHeight="1"/>
    <row r="368" ht="16.5" customHeight="1"/>
    <row r="369" ht="16.5" customHeight="1"/>
    <row r="370" ht="16.5" customHeight="1"/>
    <row r="371" ht="16.5" customHeight="1"/>
    <row r="372" ht="16.5" customHeight="1"/>
    <row r="373" ht="16.5" customHeight="1"/>
    <row r="374" ht="16.5" customHeight="1"/>
    <row r="375" ht="16.5" customHeight="1"/>
    <row r="376" ht="16.5" customHeight="1"/>
    <row r="377" ht="16.5" customHeight="1"/>
    <row r="378" ht="16.5" customHeight="1"/>
    <row r="379" ht="16.5" customHeight="1"/>
    <row r="380" ht="16.5" customHeight="1"/>
    <row r="381" ht="16.5" customHeight="1"/>
    <row r="382" ht="16.5" customHeight="1"/>
    <row r="383" ht="16.5" customHeight="1"/>
    <row r="384" ht="16.5" customHeight="1"/>
    <row r="385" ht="16.5" customHeight="1"/>
    <row r="386" ht="16.5" customHeight="1"/>
    <row r="387" ht="16.5" customHeight="1"/>
    <row r="388" ht="16.5" customHeight="1"/>
    <row r="389" ht="16.5" customHeight="1"/>
    <row r="390" ht="16.5" customHeight="1"/>
    <row r="391" ht="16.5" customHeight="1"/>
    <row r="392" ht="16.5" customHeight="1"/>
    <row r="393" ht="16.5" customHeight="1"/>
    <row r="394" ht="16.5" customHeight="1"/>
    <row r="395" ht="16.5" customHeight="1"/>
    <row r="396" ht="16.5" customHeight="1"/>
    <row r="397" ht="16.5" customHeight="1"/>
    <row r="398" ht="16.5" customHeight="1"/>
    <row r="399" ht="16.5" customHeight="1"/>
    <row r="400" ht="16.5" customHeight="1"/>
    <row r="401" ht="16.5" customHeight="1"/>
    <row r="402" ht="16.5" customHeight="1"/>
    <row r="403" ht="16.5" customHeight="1"/>
    <row r="404" ht="16.5" customHeight="1"/>
    <row r="405" ht="16.5" customHeight="1"/>
    <row r="406" ht="16.5" customHeight="1"/>
    <row r="407" ht="16.5" customHeight="1"/>
    <row r="408" ht="16.5" customHeight="1"/>
    <row r="409" ht="16.5" customHeight="1"/>
    <row r="410" ht="16.5" customHeight="1"/>
    <row r="411" ht="16.5" customHeight="1"/>
    <row r="412" ht="16.5" customHeight="1"/>
    <row r="413" ht="16.5" customHeight="1"/>
    <row r="414" ht="16.5" customHeight="1"/>
    <row r="415" ht="16.5" customHeight="1"/>
    <row r="416" ht="16.5" customHeight="1"/>
    <row r="417" ht="16.5" customHeight="1"/>
    <row r="418" ht="16.5" customHeight="1"/>
    <row r="419" ht="16.5" customHeight="1"/>
    <row r="420" ht="16.5" customHeight="1"/>
    <row r="421" ht="16.5" customHeight="1"/>
    <row r="422" ht="16.5" customHeight="1"/>
    <row r="423" ht="16.5" customHeight="1"/>
    <row r="424" ht="16.5" customHeight="1"/>
    <row r="425" ht="16.5" customHeight="1"/>
    <row r="426" ht="16.5" customHeight="1"/>
    <row r="427" ht="16.5" customHeight="1"/>
    <row r="428" ht="16.5" customHeight="1"/>
    <row r="429" ht="16.5" customHeight="1"/>
    <row r="430" ht="16.5" customHeight="1"/>
    <row r="431" ht="16.5" customHeight="1"/>
    <row r="432" ht="16.5" customHeight="1"/>
    <row r="433" ht="16.5" customHeight="1"/>
    <row r="434" ht="16.5" customHeight="1"/>
    <row r="435" ht="16.5" customHeight="1"/>
    <row r="436" ht="16.5" customHeight="1"/>
    <row r="437" ht="16.5" customHeight="1"/>
    <row r="438" ht="16.5" customHeight="1"/>
    <row r="439" ht="16.5" customHeight="1"/>
    <row r="440" ht="16.5" customHeight="1"/>
    <row r="441" ht="16.5" customHeight="1"/>
    <row r="442" ht="16.5" customHeight="1"/>
    <row r="443" ht="16.5" customHeight="1"/>
    <row r="444" ht="16.5" customHeight="1"/>
    <row r="445" ht="16.5" customHeight="1"/>
    <row r="446" ht="16.5" customHeight="1"/>
    <row r="447" ht="16.5" customHeight="1"/>
    <row r="448" ht="16.5" customHeight="1"/>
    <row r="449" ht="16.5" customHeight="1"/>
    <row r="450" ht="16.5" customHeight="1"/>
    <row r="451" ht="16.5" customHeight="1"/>
    <row r="452" ht="16.5" customHeight="1"/>
    <row r="453" ht="16.5" customHeight="1"/>
    <row r="454" ht="16.5" customHeight="1"/>
    <row r="455" ht="16.5" customHeight="1"/>
    <row r="456" ht="16.5" customHeight="1"/>
    <row r="457" ht="16.5" customHeight="1"/>
    <row r="458" ht="16.5" customHeight="1"/>
    <row r="459" ht="16.5" customHeight="1"/>
    <row r="460" ht="16.5" customHeight="1"/>
    <row r="461" ht="16.5" customHeight="1"/>
    <row r="462" ht="16.5" customHeight="1"/>
    <row r="463" ht="16.5" customHeight="1"/>
    <row r="464" ht="16.5" customHeight="1"/>
    <row r="465" ht="16.5" customHeight="1"/>
    <row r="466" ht="16.5" customHeight="1"/>
    <row r="467" ht="16.5" customHeight="1"/>
    <row r="468" ht="16.5" customHeight="1"/>
    <row r="469" ht="16.5" customHeight="1"/>
    <row r="470" ht="16.5" customHeight="1"/>
    <row r="471" ht="16.5" customHeight="1"/>
    <row r="472" ht="16.5" customHeight="1"/>
    <row r="473" ht="16.5" customHeight="1"/>
    <row r="474" ht="16.5" customHeight="1"/>
    <row r="475" ht="16.5" customHeight="1"/>
    <row r="476" ht="16.5" customHeight="1"/>
    <row r="477" ht="16.5" customHeight="1"/>
    <row r="478" ht="16.5" customHeight="1"/>
    <row r="479" ht="16.5" customHeight="1"/>
    <row r="480" ht="16.5" customHeight="1"/>
    <row r="481" ht="16.5" customHeight="1"/>
    <row r="482" ht="16.5" customHeight="1"/>
    <row r="483" ht="16.5" customHeight="1"/>
    <row r="484" ht="16.5" customHeight="1"/>
    <row r="485" ht="16.5" customHeight="1"/>
    <row r="486" ht="16.5" customHeight="1"/>
    <row r="487" ht="16.5" customHeight="1"/>
    <row r="488" ht="16.5" customHeight="1"/>
    <row r="489" ht="16.5" customHeight="1"/>
    <row r="490" ht="16.5" customHeight="1"/>
    <row r="491" ht="16.5" customHeight="1"/>
    <row r="492" ht="16.5" customHeight="1"/>
    <row r="493" ht="16.5" customHeight="1"/>
    <row r="494" ht="16.5" customHeight="1"/>
    <row r="495" ht="16.5" customHeight="1"/>
    <row r="496" ht="16.5" customHeight="1"/>
    <row r="497" ht="16.5" customHeight="1"/>
    <row r="498" ht="16.5" customHeight="1"/>
    <row r="499" ht="16.5" customHeight="1"/>
    <row r="500" ht="16.5" customHeight="1"/>
    <row r="501" ht="16.5" customHeight="1"/>
    <row r="502" ht="16.5" customHeight="1"/>
    <row r="503" ht="16.5" customHeight="1"/>
    <row r="504" ht="16.5" customHeight="1"/>
    <row r="505" ht="16.5" customHeight="1"/>
    <row r="506" ht="16.5" customHeight="1"/>
    <row r="507" ht="16.5" customHeight="1"/>
    <row r="508" ht="16.5" customHeight="1"/>
    <row r="509" ht="16.5" customHeight="1"/>
    <row r="510" ht="16.5" customHeight="1"/>
    <row r="511" ht="16.5" customHeight="1"/>
    <row r="512" ht="16.5" customHeight="1"/>
    <row r="513" ht="16.5" customHeight="1"/>
    <row r="514" ht="16.5" customHeight="1"/>
    <row r="515" ht="16.5" customHeight="1"/>
    <row r="516" ht="16.5" customHeight="1"/>
    <row r="517" ht="16.5" customHeight="1"/>
    <row r="518" ht="16.5" customHeight="1"/>
    <row r="519" ht="16.5" customHeight="1"/>
    <row r="520" ht="16.5" customHeight="1"/>
    <row r="521" ht="16.5" customHeight="1"/>
    <row r="522" ht="16.5" customHeight="1"/>
    <row r="523" ht="16.5" customHeight="1"/>
    <row r="524" ht="16.5" customHeight="1"/>
    <row r="525" ht="16.5" customHeight="1"/>
    <row r="526" ht="16.5" customHeight="1"/>
    <row r="527" ht="16.5" customHeight="1"/>
    <row r="528" ht="16.5" customHeight="1"/>
    <row r="529" ht="16.5" customHeight="1"/>
    <row r="530" ht="16.5" customHeight="1"/>
    <row r="531" ht="16.5" customHeight="1"/>
    <row r="532" ht="16.5" customHeight="1"/>
    <row r="533" ht="16.5" customHeight="1"/>
    <row r="534" ht="16.5" customHeight="1"/>
    <row r="535" ht="16.5" customHeight="1"/>
    <row r="536" ht="16.5" customHeight="1"/>
    <row r="537" ht="16.5" customHeight="1"/>
    <row r="538" ht="16.5" customHeight="1"/>
    <row r="539" ht="16.5" customHeight="1"/>
    <row r="540" ht="16.5" customHeight="1"/>
    <row r="541" ht="16.5" customHeight="1"/>
    <row r="542" ht="16.5" customHeight="1"/>
    <row r="543" ht="16.5" customHeight="1"/>
    <row r="544" ht="16.5" customHeight="1"/>
    <row r="545" ht="16.5" customHeight="1"/>
    <row r="546" ht="16.5" customHeight="1"/>
    <row r="547" ht="16.5" customHeight="1"/>
    <row r="548" ht="16.5" customHeight="1"/>
    <row r="549" ht="16.5" customHeight="1"/>
    <row r="550" ht="16.5" customHeight="1"/>
    <row r="551" ht="16.5" customHeight="1"/>
    <row r="552" ht="16.5" customHeight="1"/>
    <row r="553" ht="16.5" customHeight="1"/>
    <row r="554" ht="16.5" customHeight="1"/>
    <row r="555" ht="16.5" customHeight="1"/>
    <row r="556" ht="16.5" customHeight="1"/>
    <row r="557" ht="16.5" customHeight="1"/>
    <row r="558" ht="16.5" customHeight="1"/>
    <row r="559" ht="16.5" customHeight="1"/>
    <row r="560" ht="16.5" customHeight="1"/>
    <row r="561" ht="16.5" customHeight="1"/>
    <row r="562" ht="16.5" customHeight="1"/>
    <row r="563" ht="16.5" customHeight="1"/>
    <row r="564" ht="16.5" customHeight="1"/>
    <row r="565" ht="16.5" customHeight="1"/>
    <row r="566" ht="16.5" customHeight="1"/>
    <row r="567" ht="16.5" customHeight="1"/>
    <row r="568" ht="16.5" customHeight="1"/>
    <row r="569" ht="16.5" customHeight="1"/>
    <row r="570" ht="16.5" customHeight="1"/>
    <row r="571" ht="16.5" customHeight="1"/>
    <row r="572" ht="16.5" customHeight="1"/>
    <row r="573" ht="16.5" customHeight="1"/>
    <row r="574" ht="16.5" customHeight="1"/>
    <row r="575" ht="16.5" customHeight="1"/>
    <row r="576" ht="16.5" customHeight="1"/>
    <row r="577" ht="16.5" customHeight="1"/>
    <row r="578" ht="16.5" customHeight="1"/>
    <row r="579" ht="16.5" customHeight="1"/>
    <row r="580" ht="16.5" customHeight="1"/>
    <row r="581" ht="16.5" customHeight="1"/>
    <row r="582" ht="16.5" customHeight="1"/>
    <row r="583" ht="16.5" customHeight="1"/>
    <row r="584" ht="16.5" customHeight="1"/>
    <row r="585" ht="16.5" customHeight="1"/>
    <row r="586" ht="16.5" customHeight="1"/>
    <row r="587" ht="16.5" customHeight="1"/>
    <row r="588" ht="16.5" customHeight="1"/>
    <row r="589" ht="16.5" customHeight="1"/>
    <row r="590" ht="16.5" customHeight="1"/>
    <row r="591" ht="16.5" customHeight="1"/>
    <row r="592" ht="16.5" customHeight="1"/>
    <row r="593" ht="16.5" customHeight="1"/>
    <row r="594" ht="16.5" customHeight="1"/>
    <row r="595" ht="16.5" customHeight="1"/>
    <row r="596" ht="16.5" customHeight="1"/>
    <row r="597" ht="16.5" customHeight="1"/>
    <row r="598" ht="16.5" customHeight="1"/>
    <row r="599" ht="16.5" customHeight="1"/>
    <row r="600" ht="16.5" customHeight="1"/>
    <row r="601" ht="16.5" customHeight="1"/>
    <row r="602" ht="16.5" customHeight="1"/>
    <row r="603" ht="16.5" customHeight="1"/>
    <row r="604" ht="16.5" customHeight="1"/>
    <row r="605" ht="16.5" customHeight="1"/>
    <row r="606" ht="16.5" customHeight="1"/>
    <row r="607" ht="16.5" customHeight="1"/>
    <row r="608" ht="16.5" customHeight="1"/>
    <row r="609" ht="16.5" customHeight="1"/>
    <row r="610" ht="16.5" customHeight="1"/>
    <row r="611" ht="16.5" customHeight="1"/>
    <row r="612" ht="16.5" customHeight="1"/>
    <row r="613" ht="16.5" customHeight="1"/>
    <row r="614" ht="16.5" customHeight="1"/>
    <row r="615" ht="16.5" customHeight="1"/>
    <row r="616" ht="16.5" customHeight="1"/>
    <row r="617" ht="16.5" customHeight="1"/>
    <row r="618" ht="16.5" customHeight="1"/>
    <row r="619" ht="16.5" customHeight="1"/>
    <row r="620" ht="16.5" customHeight="1"/>
    <row r="621" ht="16.5" customHeight="1"/>
    <row r="622" ht="16.5" customHeight="1"/>
    <row r="623" ht="16.5" customHeight="1"/>
    <row r="624" ht="16.5" customHeight="1"/>
    <row r="625" ht="16.5" customHeight="1"/>
    <row r="626" ht="16.5" customHeight="1"/>
    <row r="627" ht="16.5" customHeight="1"/>
    <row r="628" ht="16.5" customHeight="1"/>
    <row r="629" ht="16.5" customHeight="1"/>
    <row r="630" ht="16.5" customHeight="1"/>
    <row r="631" ht="16.5" customHeight="1"/>
    <row r="632" ht="16.5" customHeight="1"/>
    <row r="633" ht="16.5" customHeight="1"/>
    <row r="634" ht="16.5" customHeight="1"/>
    <row r="635" ht="16.5" customHeight="1"/>
    <row r="636" ht="16.5" customHeight="1"/>
    <row r="637" ht="16.5" customHeight="1"/>
    <row r="638" ht="16.5" customHeight="1"/>
    <row r="639" ht="16.5" customHeight="1"/>
    <row r="640" ht="16.5" customHeight="1"/>
    <row r="641" ht="16.5" customHeight="1"/>
    <row r="642" ht="16.5" customHeight="1"/>
    <row r="643" ht="16.5" customHeight="1"/>
    <row r="644" ht="16.5" customHeight="1"/>
    <row r="645" ht="16.5" customHeight="1"/>
    <row r="646" ht="16.5" customHeight="1"/>
    <row r="647" ht="16.5" customHeight="1"/>
    <row r="648" ht="16.5" customHeight="1"/>
    <row r="649" ht="16.5" customHeight="1"/>
    <row r="650" ht="16.5" customHeight="1"/>
    <row r="651" ht="16.5" customHeight="1"/>
    <row r="652" ht="16.5" customHeight="1"/>
    <row r="653" ht="16.5" customHeight="1"/>
    <row r="654" ht="16.5" customHeight="1"/>
    <row r="655" ht="16.5" customHeight="1"/>
    <row r="656" ht="16.5" customHeight="1"/>
    <row r="657" ht="16.5" customHeight="1"/>
    <row r="658" ht="16.5" customHeight="1"/>
    <row r="659" ht="16.5" customHeight="1"/>
    <row r="660" ht="16.5" customHeight="1"/>
    <row r="661" ht="16.5" customHeight="1"/>
    <row r="662" ht="16.5" customHeight="1"/>
    <row r="663" ht="16.5" customHeight="1"/>
    <row r="664" ht="16.5" customHeight="1"/>
    <row r="665" ht="16.5" customHeight="1"/>
    <row r="666" ht="16.5" customHeight="1"/>
    <row r="667" ht="16.5" customHeight="1"/>
    <row r="668" ht="16.5" customHeight="1"/>
    <row r="669" ht="16.5" customHeight="1"/>
    <row r="670" ht="16.5" customHeight="1"/>
    <row r="671" ht="16.5" customHeight="1"/>
    <row r="672" ht="16.5" customHeight="1"/>
    <row r="673" ht="16.5" customHeight="1"/>
    <row r="674" ht="16.5" customHeight="1"/>
    <row r="675" ht="16.5" customHeight="1"/>
    <row r="676" ht="16.5" customHeight="1"/>
    <row r="677" ht="16.5" customHeight="1"/>
    <row r="678" ht="16.5" customHeight="1"/>
    <row r="679" ht="16.5" customHeight="1"/>
    <row r="680" ht="16.5" customHeight="1"/>
    <row r="681" ht="16.5" customHeight="1"/>
    <row r="682" ht="16.5" customHeight="1"/>
    <row r="683" ht="16.5" customHeight="1"/>
    <row r="684" ht="16.5" customHeight="1"/>
    <row r="685" ht="16.5" customHeight="1"/>
    <row r="686" ht="16.5" customHeight="1"/>
    <row r="687" ht="16.5" customHeight="1"/>
    <row r="688" ht="16.5" customHeight="1"/>
    <row r="689" ht="16.5" customHeight="1"/>
    <row r="690" ht="16.5" customHeight="1"/>
    <row r="691" ht="16.5" customHeight="1"/>
    <row r="692" ht="16.5" customHeight="1"/>
    <row r="693" ht="16.5" customHeight="1"/>
    <row r="694" ht="16.5" customHeight="1"/>
    <row r="695" ht="16.5" customHeight="1"/>
    <row r="696" ht="16.5" customHeight="1"/>
    <row r="697" ht="16.5" customHeight="1"/>
    <row r="698" ht="16.5" customHeight="1"/>
    <row r="699" ht="16.5" customHeight="1"/>
    <row r="700" ht="16.5" customHeight="1"/>
    <row r="701" ht="16.5" customHeight="1"/>
    <row r="702" ht="16.5" customHeight="1"/>
    <row r="703" ht="16.5" customHeight="1"/>
    <row r="704" ht="16.5" customHeight="1"/>
    <row r="705" ht="16.5" customHeight="1"/>
    <row r="706" ht="16.5" customHeight="1"/>
    <row r="707" ht="16.5" customHeight="1"/>
    <row r="708" ht="16.5" customHeight="1"/>
    <row r="709" ht="16.5" customHeight="1"/>
    <row r="710" ht="16.5" customHeight="1"/>
    <row r="711" ht="16.5" customHeight="1"/>
    <row r="712" ht="16.5" customHeight="1"/>
    <row r="713" ht="16.5" customHeight="1"/>
    <row r="714" ht="16.5" customHeight="1"/>
    <row r="715" ht="16.5" customHeight="1"/>
    <row r="716" ht="16.5" customHeight="1"/>
    <row r="717" ht="16.5" customHeight="1"/>
    <row r="718" ht="16.5" customHeight="1"/>
    <row r="719" ht="16.5" customHeight="1"/>
    <row r="720" ht="16.5" customHeight="1"/>
    <row r="721" ht="16.5" customHeight="1"/>
    <row r="722" ht="16.5" customHeight="1"/>
    <row r="723" ht="16.5" customHeight="1"/>
    <row r="724" ht="16.5" customHeight="1"/>
    <row r="725" ht="16.5" customHeight="1"/>
    <row r="726" ht="16.5" customHeight="1"/>
    <row r="727" ht="16.5" customHeight="1"/>
    <row r="728" ht="16.5" customHeight="1"/>
    <row r="729" ht="16.5" customHeight="1"/>
    <row r="730" ht="16.5" customHeight="1"/>
    <row r="731" ht="16.5" customHeight="1"/>
    <row r="732" ht="16.5" customHeight="1"/>
    <row r="733" ht="16.5" customHeight="1"/>
    <row r="734" ht="16.5" customHeight="1"/>
    <row r="735" ht="16.5" customHeight="1"/>
    <row r="736" ht="16.5" customHeight="1"/>
    <row r="737" ht="16.5" customHeight="1"/>
    <row r="738" ht="16.5" customHeight="1"/>
    <row r="739" ht="16.5" customHeight="1"/>
    <row r="740" ht="16.5" customHeight="1"/>
    <row r="741" ht="16.5" customHeight="1"/>
    <row r="742" ht="16.5" customHeight="1"/>
    <row r="743" ht="16.5" customHeight="1"/>
    <row r="744" ht="16.5" customHeight="1"/>
    <row r="745" ht="16.5" customHeight="1"/>
    <row r="746" ht="16.5" customHeight="1"/>
    <row r="747" ht="16.5" customHeight="1"/>
    <row r="748" ht="16.5" customHeight="1"/>
    <row r="749" ht="16.5" customHeight="1"/>
    <row r="750" ht="16.5" customHeight="1"/>
    <row r="751" ht="16.5" customHeight="1"/>
    <row r="752" ht="16.5" customHeight="1"/>
    <row r="753" ht="16.5" customHeight="1"/>
    <row r="754" ht="16.5" customHeight="1"/>
    <row r="755" ht="16.5" customHeight="1"/>
    <row r="756" ht="16.5" customHeight="1"/>
    <row r="757" ht="16.5" customHeight="1"/>
    <row r="758" ht="16.5" customHeight="1"/>
    <row r="759" ht="16.5" customHeight="1"/>
    <row r="760" ht="16.5" customHeight="1"/>
    <row r="761" ht="16.5" customHeight="1"/>
    <row r="762" ht="16.5" customHeight="1"/>
    <row r="763" ht="16.5" customHeight="1"/>
    <row r="764" ht="16.5" customHeight="1"/>
    <row r="765" ht="16.5" customHeight="1"/>
    <row r="766" ht="16.5" customHeight="1"/>
    <row r="767" ht="16.5" customHeight="1"/>
    <row r="768" ht="16.5" customHeight="1"/>
    <row r="769" ht="16.5" customHeight="1"/>
    <row r="770" ht="16.5" customHeight="1"/>
    <row r="771" ht="16.5" customHeight="1"/>
    <row r="772" ht="16.5" customHeight="1"/>
    <row r="773" ht="16.5" customHeight="1"/>
    <row r="774" ht="16.5" customHeight="1"/>
    <row r="775" ht="16.5" customHeight="1"/>
    <row r="776" ht="16.5" customHeight="1"/>
    <row r="777" ht="16.5" customHeight="1"/>
    <row r="778" ht="16.5" customHeight="1"/>
    <row r="779" ht="16.5" customHeight="1"/>
    <row r="780" ht="16.5" customHeight="1"/>
    <row r="781" ht="16.5" customHeight="1"/>
    <row r="782" ht="16.5" customHeight="1"/>
    <row r="783" ht="16.5" customHeight="1"/>
    <row r="784" ht="16.5" customHeight="1"/>
    <row r="785" ht="16.5" customHeight="1"/>
    <row r="786" ht="16.5" customHeight="1"/>
    <row r="787" ht="16.5" customHeight="1"/>
    <row r="788" ht="16.5" customHeight="1"/>
    <row r="789" ht="16.5" customHeight="1"/>
    <row r="790" ht="16.5" customHeight="1"/>
    <row r="791" ht="16.5" customHeight="1"/>
    <row r="792" ht="16.5" customHeight="1"/>
    <row r="793" ht="16.5" customHeight="1"/>
    <row r="794" ht="16.5" customHeight="1"/>
    <row r="795" ht="16.5" customHeight="1"/>
    <row r="796" ht="16.5" customHeight="1"/>
    <row r="797" ht="16.5" customHeight="1"/>
    <row r="798" ht="16.5" customHeight="1"/>
    <row r="799" ht="16.5" customHeight="1"/>
    <row r="800" ht="16.5" customHeight="1"/>
    <row r="801" ht="16.5" customHeight="1"/>
    <row r="802" ht="16.5" customHeight="1"/>
    <row r="803" ht="16.5" customHeight="1"/>
    <row r="804" ht="16.5" customHeight="1"/>
    <row r="805" ht="16.5" customHeight="1"/>
    <row r="806" ht="16.5" customHeight="1"/>
    <row r="807" ht="16.5" customHeight="1"/>
    <row r="808" ht="16.5" customHeight="1"/>
    <row r="809" ht="16.5" customHeight="1"/>
    <row r="810" ht="16.5" customHeight="1"/>
    <row r="811" ht="16.5" customHeight="1"/>
    <row r="812" ht="16.5" customHeight="1"/>
    <row r="813" ht="16.5" customHeight="1"/>
    <row r="814" ht="16.5" customHeight="1"/>
    <row r="815" ht="16.5" customHeight="1"/>
    <row r="816" ht="16.5" customHeight="1"/>
    <row r="817" ht="16.5" customHeight="1"/>
    <row r="818" ht="16.5" customHeight="1"/>
    <row r="819" ht="16.5" customHeight="1"/>
    <row r="820" ht="16.5" customHeight="1"/>
    <row r="821" ht="16.5" customHeight="1"/>
    <row r="822" ht="16.5" customHeight="1"/>
    <row r="823" ht="16.5" customHeight="1"/>
    <row r="824" ht="16.5" customHeight="1"/>
    <row r="825" ht="16.5" customHeight="1"/>
    <row r="826" ht="16.5" customHeight="1"/>
    <row r="827" ht="16.5" customHeight="1"/>
    <row r="828" ht="16.5" customHeight="1"/>
    <row r="829" ht="16.5" customHeight="1"/>
    <row r="830" ht="16.5" customHeight="1"/>
    <row r="831" ht="16.5" customHeight="1"/>
    <row r="832" ht="16.5" customHeight="1"/>
    <row r="833" ht="16.5" customHeight="1"/>
    <row r="834" ht="16.5" customHeight="1"/>
    <row r="835" ht="16.5" customHeight="1"/>
    <row r="836" ht="16.5" customHeight="1"/>
    <row r="837" ht="16.5" customHeight="1"/>
    <row r="838" ht="16.5" customHeight="1"/>
    <row r="839" ht="16.5" customHeight="1"/>
    <row r="840" ht="16.5" customHeight="1"/>
    <row r="841" ht="16.5" customHeight="1"/>
    <row r="842" ht="16.5" customHeight="1"/>
    <row r="843" ht="16.5" customHeight="1"/>
    <row r="844" ht="16.5" customHeight="1"/>
    <row r="845" ht="16.5" customHeight="1"/>
    <row r="846" ht="16.5" customHeight="1"/>
    <row r="847" ht="16.5" customHeight="1"/>
    <row r="848" ht="16.5" customHeight="1"/>
    <row r="849" ht="16.5" customHeight="1"/>
    <row r="850" ht="16.5" customHeight="1"/>
    <row r="851" ht="16.5" customHeight="1"/>
    <row r="852" ht="16.5" customHeight="1"/>
    <row r="853" ht="16.5" customHeight="1"/>
    <row r="854" ht="16.5" customHeight="1"/>
    <row r="855" ht="16.5" customHeight="1"/>
    <row r="856" ht="16.5" customHeight="1"/>
    <row r="857" ht="16.5" customHeight="1"/>
    <row r="858" ht="16.5" customHeight="1"/>
    <row r="859" ht="16.5" customHeight="1"/>
    <row r="860" ht="16.5" customHeight="1"/>
    <row r="861" ht="16.5" customHeight="1"/>
    <row r="862" ht="16.5" customHeight="1"/>
    <row r="863" ht="16.5" customHeight="1"/>
    <row r="864" ht="16.5" customHeight="1"/>
    <row r="865" ht="16.5" customHeight="1"/>
    <row r="866" ht="16.5" customHeight="1"/>
    <row r="867" ht="16.5" customHeight="1"/>
    <row r="868" ht="16.5" customHeight="1"/>
    <row r="869" ht="16.5" customHeight="1"/>
    <row r="870" ht="16.5" customHeight="1"/>
    <row r="871" ht="16.5" customHeight="1"/>
    <row r="872" ht="16.5" customHeight="1"/>
    <row r="873" ht="16.5" customHeight="1"/>
    <row r="874" ht="16.5" customHeight="1"/>
    <row r="875" ht="16.5" customHeight="1"/>
    <row r="876" ht="16.5" customHeight="1"/>
    <row r="877" ht="16.5" customHeight="1"/>
    <row r="878" ht="16.5" customHeight="1"/>
    <row r="879" ht="16.5" customHeight="1"/>
    <row r="880" ht="16.5" customHeight="1"/>
    <row r="881" ht="16.5" customHeight="1"/>
    <row r="882" ht="16.5" customHeight="1"/>
    <row r="883" ht="16.5" customHeight="1"/>
    <row r="884" ht="16.5" customHeight="1"/>
    <row r="885" ht="16.5" customHeight="1"/>
    <row r="886" ht="16.5" customHeight="1"/>
    <row r="887" ht="16.5" customHeight="1"/>
    <row r="888" ht="16.5" customHeight="1"/>
    <row r="889" ht="16.5" customHeight="1"/>
    <row r="890" ht="16.5" customHeight="1"/>
    <row r="891" ht="16.5" customHeight="1"/>
    <row r="892" ht="16.5" customHeight="1"/>
    <row r="893" ht="16.5" customHeight="1"/>
    <row r="894" ht="16.5" customHeight="1"/>
    <row r="895" ht="16.5" customHeight="1"/>
    <row r="896" ht="16.5" customHeight="1"/>
    <row r="897" ht="16.5" customHeight="1"/>
    <row r="898" ht="16.5" customHeight="1"/>
    <row r="899" ht="16.5" customHeight="1"/>
    <row r="900" ht="16.5" customHeight="1"/>
    <row r="901" ht="16.5" customHeight="1"/>
    <row r="902" ht="16.5" customHeight="1"/>
    <row r="903" ht="16.5" customHeight="1"/>
    <row r="904" ht="16.5" customHeight="1"/>
    <row r="905" ht="16.5" customHeight="1"/>
    <row r="906" ht="16.5" customHeight="1"/>
    <row r="907" ht="16.5" customHeight="1"/>
    <row r="908" ht="16.5" customHeight="1"/>
    <row r="909" ht="16.5" customHeight="1"/>
    <row r="910" ht="16.5" customHeight="1"/>
    <row r="911" ht="16.5" customHeight="1"/>
    <row r="912" ht="16.5" customHeight="1"/>
    <row r="913" ht="16.5" customHeight="1"/>
    <row r="914" ht="16.5" customHeight="1"/>
    <row r="915" ht="16.5" customHeight="1"/>
    <row r="916" ht="16.5" customHeight="1"/>
    <row r="917" ht="16.5" customHeight="1"/>
    <row r="918" ht="16.5" customHeight="1"/>
    <row r="919" ht="16.5" customHeight="1"/>
    <row r="920" ht="16.5" customHeight="1"/>
    <row r="921" ht="16.5" customHeight="1"/>
    <row r="922" ht="16.5" customHeight="1"/>
    <row r="923" ht="16.5" customHeight="1"/>
    <row r="924" ht="16.5" customHeight="1"/>
    <row r="925" ht="16.5" customHeight="1"/>
    <row r="926" ht="16.5" customHeight="1"/>
    <row r="927" ht="16.5" customHeight="1"/>
    <row r="928" ht="16.5" customHeight="1"/>
    <row r="929" ht="16.5" customHeight="1"/>
    <row r="930" ht="16.5" customHeight="1"/>
    <row r="931" ht="16.5" customHeight="1"/>
    <row r="932" ht="16.5" customHeight="1"/>
    <row r="933" ht="16.5" customHeight="1"/>
    <row r="934" ht="16.5" customHeight="1"/>
    <row r="935" ht="16.5" customHeight="1"/>
    <row r="936" ht="16.5" customHeight="1"/>
    <row r="937" ht="16.5" customHeight="1"/>
    <row r="938" ht="16.5" customHeight="1"/>
    <row r="939" ht="16.5" customHeight="1"/>
    <row r="940" ht="16.5" customHeight="1"/>
    <row r="941" ht="16.5" customHeight="1"/>
    <row r="942" ht="16.5" customHeight="1"/>
    <row r="943" ht="16.5" customHeight="1"/>
    <row r="944" ht="16.5" customHeight="1"/>
    <row r="945" ht="16.5" customHeight="1"/>
    <row r="946" ht="16.5" customHeight="1"/>
    <row r="947" ht="16.5" customHeight="1"/>
    <row r="948" ht="16.5" customHeight="1"/>
    <row r="949" ht="16.5" customHeight="1"/>
    <row r="950" ht="16.5" customHeight="1"/>
    <row r="951" ht="16.5" customHeight="1"/>
    <row r="952" ht="16.5" customHeight="1"/>
    <row r="953" ht="16.5" customHeight="1"/>
    <row r="954" ht="16.5" customHeight="1"/>
    <row r="955" ht="16.5" customHeight="1"/>
    <row r="956" ht="16.5" customHeight="1"/>
    <row r="957" ht="16.5" customHeight="1"/>
    <row r="958" ht="16.5" customHeight="1"/>
    <row r="959" ht="16.5" customHeight="1"/>
    <row r="960" ht="16.5" customHeight="1"/>
    <row r="961" ht="16.5" customHeight="1"/>
    <row r="962" ht="16.5" customHeight="1"/>
    <row r="963" ht="16.5" customHeight="1"/>
    <row r="964" ht="16.5" customHeight="1"/>
    <row r="965" ht="16.5" customHeight="1"/>
    <row r="966" ht="16.5" customHeight="1"/>
    <row r="967" ht="16.5" customHeight="1"/>
    <row r="968" ht="16.5" customHeight="1"/>
    <row r="969" ht="16.5" customHeight="1"/>
    <row r="970" ht="16.5" customHeight="1"/>
    <row r="971" ht="16.5" customHeight="1"/>
    <row r="972" ht="16.5" customHeight="1"/>
    <row r="973" ht="16.5" customHeight="1"/>
    <row r="974" ht="16.5" customHeight="1"/>
    <row r="975" ht="16.5" customHeight="1"/>
    <row r="976" ht="16.5" customHeight="1"/>
    <row r="977" ht="16.5" customHeight="1"/>
    <row r="978" ht="16.5" customHeight="1"/>
    <row r="979" ht="16.5" customHeight="1"/>
    <row r="980" ht="16.5" customHeight="1"/>
    <row r="981" ht="16.5" customHeight="1"/>
    <row r="982" ht="16.5" customHeight="1"/>
    <row r="983" ht="16.5" customHeight="1"/>
    <row r="984" ht="16.5" customHeight="1"/>
    <row r="985" ht="16.5" customHeight="1"/>
    <row r="986" ht="16.5" customHeight="1"/>
    <row r="987" ht="16.5" customHeight="1"/>
    <row r="988" ht="16.5" customHeight="1"/>
    <row r="989" ht="16.5" customHeight="1"/>
    <row r="990" ht="16.5" customHeight="1"/>
    <row r="991" ht="16.5" customHeight="1"/>
    <row r="992" ht="16.5" customHeight="1"/>
    <row r="993" ht="16.5" customHeight="1"/>
    <row r="994" ht="16.5" customHeight="1"/>
    <row r="995" ht="16.5" customHeight="1"/>
    <row r="996" ht="16.5" customHeight="1"/>
    <row r="997" ht="16.5" customHeight="1"/>
    <row r="998" ht="16.5" customHeight="1"/>
    <row r="999" ht="16.5" customHeight="1"/>
    <row r="1000" ht="16.5" customHeight="1"/>
  </sheetData>
  <mergeCells count="3">
    <mergeCell ref="A2:A7"/>
    <mergeCell ref="B3:B4"/>
    <mergeCell ref="B6:B7"/>
  </mergeCells>
  <printOptions/>
  <pageMargins bottom="0.75" footer="0.0" header="0.0" left="0.7" right="0.7" top="0.75"/>
  <pageSetup orientation="landscape"/>
  <drawing r:id="rId1"/>
</worksheet>
</file>